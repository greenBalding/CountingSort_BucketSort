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34031b624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ção" sheetId="1" r:id="R83ab2ea9a09e4c40"/>
    <x:sheet xmlns:r="http://schemas.openxmlformats.org/officeDocument/2006/relationships" name="Estatísticas" sheetId="2" r:id="Rdcfcb7408e904462"/>
    <x:sheet xmlns:r="http://schemas.openxmlformats.org/officeDocument/2006/relationships" name="Medições" sheetId="3" r:id="R3287f139a235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E+00"/>
    <x:numFmt numFmtId="202" formatCode="0"/>
  </x:numFmts>
  <x:fonts count="6">
    <x:font>
      <x:sz val="11"/>
      <x:name val="Carlito"/>
    </x:font>
    <x:font>
      <x:sz val="10"/>
      <x:color rgb="FF172033"/>
      <x:name val="Arial"/>
    </x:font>
    <x:font>
      <x:b/>
      <x:sz val="15"/>
      <x:color rgb="FF172033"/>
      <x:name val="Arial"/>
    </x:font>
    <x:font>
      <x:i/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960e231324d6d" /><Relationship Type="http://schemas.openxmlformats.org/officeDocument/2006/relationships/theme" Target="/xl/theme/theme1.xml" Id="R3d0795eeb0cb4005" /><Relationship Type="http://schemas.openxmlformats.org/officeDocument/2006/relationships/sharedStrings" Target="/xl/sharedStrings.xml" Id="R27ff37694a724ce3" /><Relationship Type="http://schemas.openxmlformats.org/officeDocument/2006/relationships/worksheet" Target="/xl/worksheets/sheet1.xml" Id="R83ab2ea9a09e4c40" /><Relationship Type="http://schemas.openxmlformats.org/officeDocument/2006/relationships/worksheet" Target="/xl/worksheets/sheet2.xml" Id="Rdcfcb7408e904462" /><Relationship Type="http://schemas.openxmlformats.org/officeDocument/2006/relationships/worksheet" Target="/xl/worksheets/sheet3.xml" Id="R3287f139a23541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e7be91b6544515" /><Relationship Type="http://schemas.openxmlformats.org/officeDocument/2006/relationships/chart" Target="/xl/drawings/charts/chart2.xml" Id="R8baa247eddf849d5" /><Relationship Type="http://schemas.openxmlformats.org/officeDocument/2006/relationships/chart" Target="/xl/drawings/charts/chart3.xml" Id="R194fa11f115c4c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Entradas aleatórias: tempo médio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Counting Sort (s)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'Comparação'!$A$8:$A$16</c:f>
              <c:strCache>
                <c:ptCount val="0"/>
              </c:strCache>
            </c:strRef>
          </c:cat>
          <c:val>
            <c:numRef>
              <c:f>'Comparação'!$B$8:$B$16</c:f>
              <c:numCache>
                <c:formatCode>0.000000E+00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Bucket Sort (s)</c:v>
          </c:tx>
          <c:spPr>
            <a:ln xmlns:a="http://schemas.openxmlformats.org/drawingml/2006/main" w="19050">
              <a:solidFill>
                <a:srgbClr val="B45309"/>
              </a:solidFill>
              <a:prstDash val="solid"/>
            </a:ln>
          </c:spPr>
          <c:marker>
            <c:symbol val="none"/>
          </c:marker>
          <c:cat>
            <c:strRef>
              <c:f>'Comparação'!$A$8:$A$16</c:f>
              <c:strCache>
                <c:ptCount val="0"/>
              </c:strCache>
            </c:strRef>
          </c:cat>
          <c:val>
            <c:numRef>
              <c:f>'Comparação'!$C$8:$C$16</c:f>
              <c:numCache>
                <c:formatCode>0.000000E+00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Elementos (n), categorias em ordem crescente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médio (s)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Melhor caso do Bucket Sort: tempo médio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Counting Sort (s)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'Comparação'!$A$27:$A$35</c:f>
              <c:strCache>
                <c:ptCount val="0"/>
              </c:strCache>
            </c:strRef>
          </c:cat>
          <c:val>
            <c:numRef>
              <c:f>'Comparação'!$B$27:$B$35</c:f>
              <c:numCache>
                <c:formatCode>0.000000E+00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Bucket Sort (s)</c:v>
          </c:tx>
          <c:spPr>
            <a:ln xmlns:a="http://schemas.openxmlformats.org/drawingml/2006/main" w="19050">
              <a:solidFill>
                <a:srgbClr val="B45309"/>
              </a:solidFill>
              <a:prstDash val="solid"/>
            </a:ln>
          </c:spPr>
          <c:marker>
            <c:symbol val="none"/>
          </c:marker>
          <c:cat>
            <c:strRef>
              <c:f>'Comparação'!$A$27:$A$35</c:f>
              <c:strCache>
                <c:ptCount val="0"/>
              </c:strCache>
            </c:strRef>
          </c:cat>
          <c:val>
            <c:numRef>
              <c:f>'Comparação'!$C$27:$C$35</c:f>
              <c:numCache>
                <c:formatCode>0.000000E+00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Elementos (n), categorias em ordem crescente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médio (s)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Pior caso do Bucket Sort: tempo médio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Counting Sort (s)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'Comparação'!$A$46:$A$54</c:f>
              <c:strCache>
                <c:ptCount val="0"/>
              </c:strCache>
            </c:strRef>
          </c:cat>
          <c:val>
            <c:numRef>
              <c:f>'Comparação'!$B$46:$B$54</c:f>
              <c:numCache>
                <c:formatCode>0.000000E+00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Bucket Sort (s)</c:v>
          </c:tx>
          <c:spPr>
            <a:ln xmlns:a="http://schemas.openxmlformats.org/drawingml/2006/main" w="19050">
              <a:solidFill>
                <a:srgbClr val="B45309"/>
              </a:solidFill>
              <a:prstDash val="solid"/>
            </a:ln>
          </c:spPr>
          <c:marker>
            <c:symbol val="none"/>
          </c:marker>
          <c:cat>
            <c:strRef>
              <c:f>'Comparação'!$A$46:$A$54</c:f>
              <c:strCache>
                <c:ptCount val="0"/>
              </c:strCache>
            </c:strRef>
          </c:cat>
          <c:val>
            <c:numRef>
              <c:f>'Comparação'!$C$46:$C$54</c:f>
              <c:numCache>
                <c:formatCode>0.000000E+00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Elementos (n), categorias em ordem crescente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médio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e7be91b6544515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aa247eddf849d5"/>
        </a:graphicData>
      </a:graphic>
    </xdr:graphicFrame>
    <xdr:clientData/>
  </xdr:twoCellAnchor>
  <xdr:twoCellAnchor>
    <xdr:from>
      <xdr:col>4</xdr:col>
      <xdr:colOff>0</xdr:colOff>
      <xdr:row>43</xdr:row>
      <xdr:rowOff>0</xdr:rowOff>
    </xdr:from>
    <xdr:to>
      <xdr:col>15</xdr:col>
      <xdr:colOff>0</xdr:colOff>
      <xdr:row>59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4fa11f115c4c9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b2a990e80142e2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Counting Sort e Bucket Sort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Tempos médios em segundos. Mesmas entradas, três repetições e ordem de execução alternada.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2" t="str">
        <x:v>Entradas aleatórias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34" customHeight="1">
      <x:c r="A7" s="8" t="str">
        <x:v>Elementos (n)</x:v>
      </x:c>
      <x:c r="B7" s="8" t="str">
        <x:v>Counting Sort (s)</x:v>
      </x:c>
      <x:c r="C7" s="8" t="str">
        <x:v>Bucket Sort (s)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5" customHeight="1">
      <x:c r="A8" s="9" t="n">
        <x:v>10</x:v>
      </x:c>
      <x:c r="B8" s="10" t="n">
        <x:f>'Estatísticas'!D5</x:f>
        <x:v>9.333333333333333e-7</x:v>
      </x:c>
      <x:c r="C8" s="10" t="n">
        <x:f>'Estatísticas'!D6</x:f>
        <x:v>0.0000017333333333333334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5" customHeight="1">
      <x:c r="A9" s="9" t="n">
        <x:v>100</x:v>
      </x:c>
      <x:c r="B9" s="10" t="n">
        <x:f>'Estatísticas'!D7</x:f>
        <x:v>0.000009699999999999999</x:v>
      </x:c>
      <x:c r="C9" s="10" t="n">
        <x:f>'Estatísticas'!D8</x:f>
        <x:v>0.0000035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5" customHeight="1">
      <x:c r="A10" s="9" t="n">
        <x:v>1000</x:v>
      </x:c>
      <x:c r="B10" s="10" t="n">
        <x:f>'Estatísticas'!D9</x:f>
        <x:v>0.000027766666666666663</x:v>
      </x:c>
      <x:c r="C10" s="10" t="n">
        <x:f>'Estatísticas'!D10</x:f>
        <x:v>0.000019333333333333333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5" customHeight="1">
      <x:c r="A11" s="9" t="n">
        <x:v>5000</x:v>
      </x:c>
      <x:c r="B11" s="10" t="n">
        <x:f>'Estatísticas'!D11</x:f>
        <x:v>0.0001182</x:v>
      </x:c>
      <x:c r="C11" s="10" t="n">
        <x:f>'Estatísticas'!D12</x:f>
        <x:v>0.00009673333333333333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5" customHeight="1">
      <x:c r="A12" s="9" t="n">
        <x:v>10000</x:v>
      </x:c>
      <x:c r="B12" s="10" t="n">
        <x:f>'Estatísticas'!D13</x:f>
        <x:v>0.00019683333333333334</x:v>
      </x:c>
      <x:c r="C12" s="10" t="n">
        <x:f>'Estatísticas'!D14</x:f>
        <x:v>0.00024043333333333334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5" customHeight="1">
      <x:c r="A13" s="9" t="n">
        <x:v>50000</x:v>
      </x:c>
      <x:c r="B13" s="10" t="n">
        <x:f>'Estatísticas'!D15</x:f>
        <x:v>0.0019489666666666669</x:v>
      </x:c>
      <x:c r="C13" s="10" t="n">
        <x:f>'Estatísticas'!D16</x:f>
        <x:v>0.0007519333333333334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5" customHeight="1">
      <x:c r="A14" s="9" t="n">
        <x:v>100000</x:v>
      </x:c>
      <x:c r="B14" s="10" t="n">
        <x:f>'Estatísticas'!D17</x:f>
        <x:v>0.004632666666666666</x:v>
      </x:c>
      <x:c r="C14" s="10" t="n">
        <x:f>'Estatísticas'!D18</x:f>
        <x:v>0.0019632666666666667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5" customHeight="1">
      <x:c r="A15" s="9" t="n">
        <x:v>500000</x:v>
      </x:c>
      <x:c r="B15" s="10" t="n">
        <x:f>'Estatísticas'!D19</x:f>
        <x:v>0.04420073333333333</x:v>
      </x:c>
      <x:c r="C15" s="10" t="n">
        <x:f>'Estatísticas'!D20</x:f>
        <x:v>0.015235300000000002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5" customHeight="1">
      <x:c r="A16" s="9" t="n">
        <x:v>1000000</x:v>
      </x:c>
      <x:c r="B16" s="10" t="n">
        <x:f>'Estatísticas'!D21</x:f>
        <x:v>0.06710250000000001</x:v>
      </x:c>
      <x:c r="C16" s="10" t="n">
        <x:f>'Estatísticas'!D22</x:f>
        <x:v>0.02319046666666667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3" t="str">
        <x:v>Inteiros uniformes em [0, K). K = 10n e n baldes.</x:v>
      </x:c>
      <x:c r="B22" s="3"/>
      <x:c r="C22" s="3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3" t="str">
        <x:v>Com K fixado em 10n, a ordem da entrada não altera a classe Θ do Counting Sort.</x:v>
      </x:c>
      <x:c r="B23" s="3"/>
      <x:c r="C23" s="3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2" t="str">
        <x:v>Melhor caso do Bucket Sort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34" customHeight="1">
      <x:c r="A26" s="8" t="str">
        <x:v>Elementos (n)</x:v>
      </x:c>
      <x:c r="B26" s="8" t="str">
        <x:v>Counting Sort (s)</x:v>
      </x:c>
      <x:c r="C26" s="8" t="str">
        <x:v>Bucket Sort (s)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5" customHeight="1">
      <x:c r="A27" s="9" t="n">
        <x:v>10</x:v>
      </x:c>
      <x:c r="B27" s="10" t="n">
        <x:f>'Estatísticas'!D23</x:f>
        <x:v>0.00005336666666666667</x:v>
      </x:c>
      <x:c r="C27" s="10" t="n">
        <x:f>'Estatísticas'!D24</x:f>
        <x:v>9e-7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5" customHeight="1">
      <x:c r="A28" s="9" t="n">
        <x:v>100</x:v>
      </x:c>
      <x:c r="B28" s="10" t="n">
        <x:f>'Estatísticas'!D25</x:f>
        <x:v>0.000008</x:v>
      </x:c>
      <x:c r="C28" s="10" t="n">
        <x:f>'Estatísticas'!D26</x:f>
        <x:v>0.0000021000000000000002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5" customHeight="1">
      <x:c r="A29" s="9" t="n">
        <x:v>1000</x:v>
      </x:c>
      <x:c r="B29" s="10" t="n">
        <x:f>'Estatísticas'!D27</x:f>
        <x:v>0.000025800000000000004</x:v>
      </x:c>
      <x:c r="C29" s="10" t="n">
        <x:f>'Estatísticas'!D28</x:f>
        <x:v>0.000015366666666666666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5" customHeight="1">
      <x:c r="A30" s="9" t="n">
        <x:v>5000</x:v>
      </x:c>
      <x:c r="B30" s="10" t="n">
        <x:f>'Estatísticas'!D29</x:f>
        <x:v>0.0000966</x:v>
      </x:c>
      <x:c r="C30" s="10" t="n">
        <x:f>'Estatísticas'!D30</x:f>
        <x:v>0.00010059999999999999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5" customHeight="1">
      <x:c r="A31" s="9" t="n">
        <x:v>10000</x:v>
      </x:c>
      <x:c r="B31" s="10" t="n">
        <x:f>'Estatísticas'!D31</x:f>
        <x:v>0.00019126666666666666</x:v>
      </x:c>
      <x:c r="C31" s="10" t="n">
        <x:f>'Estatísticas'!D32</x:f>
        <x:v>0.00014863333333333336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5" customHeight="1">
      <x:c r="A32" s="9" t="n">
        <x:v>50000</x:v>
      </x:c>
      <x:c r="B32" s="10" t="n">
        <x:f>'Estatísticas'!D33</x:f>
        <x:v>0.002769066666666667</x:v>
      </x:c>
      <x:c r="C32" s="10" t="n">
        <x:f>'Estatísticas'!D34</x:f>
        <x:v>0.0006466999999999999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5" customHeight="1">
      <x:c r="A33" s="9" t="n">
        <x:v>100000</x:v>
      </x:c>
      <x:c r="B33" s="10" t="n">
        <x:f>'Estatísticas'!D35</x:f>
        <x:v>0.0051795</x:v>
      </x:c>
      <x:c r="C33" s="10" t="n">
        <x:f>'Estatísticas'!D36</x:f>
        <x:v>0.0014025333333333335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5" customHeight="1">
      <x:c r="A34" s="9" t="n">
        <x:v>500000</x:v>
      </x:c>
      <x:c r="B34" s="10" t="n">
        <x:f>'Estatísticas'!D37</x:f>
        <x:v>0.0399176</x:v>
      </x:c>
      <x:c r="C34" s="10" t="n">
        <x:f>'Estatísticas'!D38</x:f>
        <x:v>0.010436366666666667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5" customHeight="1">
      <x:c r="A35" s="9" t="n">
        <x:v>1000000</x:v>
      </x:c>
      <x:c r="B35" s="10" t="n">
        <x:f>'Estatísticas'!D39</x:f>
        <x:v>0.0754038</x:v>
      </x:c>
      <x:c r="C35" s="10" t="n">
        <x:f>'Estatísticas'!D40</x:f>
        <x:v>0.0211254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3" t="str">
        <x:v>Um valor por balde. Counting Sort mantém Θ(n + K).</x:v>
      </x:c>
      <x:c r="B41" s="3"/>
      <x:c r="C41" s="3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3" t="str">
        <x:v>Com K fixado em 10n, a ordem da entrada não altera a classe Θ do Counting Sort.</x:v>
      </x:c>
      <x:c r="B42" s="3"/>
      <x:c r="C42" s="3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2" t="str">
        <x:v>Pior caso do Bucket Sort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34" customHeight="1">
      <x:c r="A45" s="8" t="str">
        <x:v>Elementos (n)</x:v>
      </x:c>
      <x:c r="B45" s="8" t="str">
        <x:v>Counting Sort (s)</x:v>
      </x:c>
      <x:c r="C45" s="8" t="str">
        <x:v>Bucket Sort (s)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5" customHeight="1">
      <x:c r="A46" s="9" t="n">
        <x:v>10</x:v>
      </x:c>
      <x:c r="B46" s="10" t="n">
        <x:f>'Estatísticas'!D41</x:f>
        <x:v>0.0000461</x:v>
      </x:c>
      <x:c r="C46" s="10" t="n">
        <x:f>'Estatísticas'!D42</x:f>
        <x:v>0.0000018333333333333333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5" customHeight="1">
      <x:c r="A47" s="9" t="n">
        <x:v>100</x:v>
      </x:c>
      <x:c r="B47" s="10" t="n">
        <x:f>'Estatísticas'!D43</x:f>
        <x:v>0.000019166666666666667</x:v>
      </x:c>
      <x:c r="C47" s="10" t="n">
        <x:f>'Estatísticas'!D44</x:f>
        <x:v>0.000003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5" customHeight="1">
      <x:c r="A48" s="9" t="n">
        <x:v>1000</x:v>
      </x:c>
      <x:c r="B48" s="10" t="n">
        <x:f>'Estatísticas'!D45</x:f>
        <x:v>0.00008836666666666667</x:v>
      </x:c>
      <x:c r="C48" s="10" t="n">
        <x:f>'Estatísticas'!D46</x:f>
        <x:v>0.00012793333333333334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5" customHeight="1">
      <x:c r="A49" s="9" t="n">
        <x:v>5000</x:v>
      </x:c>
      <x:c r="B49" s="10" t="n">
        <x:f>'Estatísticas'!D47</x:f>
        <x:v>0.00009003333333333333</x:v>
      </x:c>
      <x:c r="C49" s="10" t="n">
        <x:f>'Estatísticas'!D48</x:f>
        <x:v>0.0020396666666666666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5" customHeight="1">
      <x:c r="A50" s="9" t="n">
        <x:v>10000</x:v>
      </x:c>
      <x:c r="B50" s="10" t="n">
        <x:f>'Estatísticas'!D49</x:f>
        <x:v>0.0002059</x:v>
      </x:c>
      <x:c r="C50" s="10" t="n">
        <x:f>'Estatísticas'!D50</x:f>
        <x:v>0.007764166666666667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5" customHeight="1">
      <x:c r="A51" s="9" t="n">
        <x:v>50000</x:v>
      </x:c>
      <x:c r="B51" s="10" t="n">
        <x:f>'Estatísticas'!D51</x:f>
        <x:v>0.0013967666666666668</x:v>
      </x:c>
      <x:c r="C51" s="10" t="n">
        <x:f>'Estatísticas'!D52</x:f>
        <x:v>0.18693786666666667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5" customHeight="1">
      <x:c r="A52" s="9" t="n">
        <x:v>100000</x:v>
      </x:c>
      <x:c r="B52" s="10" t="n">
        <x:f>'Estatísticas'!D53</x:f>
        <x:v>0.0021417999999999997</x:v>
      </x:c>
      <x:c r="C52" s="10" t="n">
        <x:f>'Estatísticas'!D54</x:f>
        <x:v>0.7348882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5" customHeight="1">
      <x:c r="A53" s="9" t="n">
        <x:v>500000</x:v>
      </x:c>
      <x:c r="B53" s="10" t="n">
        <x:f>'Estatísticas'!D55</x:f>
        <x:v>0.011192099999999998</x:v>
      </x:c>
      <x:c r="C53" s="10" t="n">
        <x:f>'Estatísticas'!D56</x:f>
        <x:v>17.560466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5" customHeight="1">
      <x:c r="A54" s="9" t="n">
        <x:v>1000000</x:v>
      </x:c>
      <x:c r="B54" s="10" t="n">
        <x:f>'Estatísticas'!D57</x:f>
        <x:v>0.024073766666666666</x:v>
      </x:c>
      <x:c r="C54" s="10" t="n">
        <x:f>'Estatísticas'!D58</x:f>
        <x:v>71.01485176666667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3" t="str">
        <x:v>Metade de valores 1, seguida de valores 0: todos no balde 0.</x:v>
      </x:c>
      <x:c r="B60" s="3"/>
      <x:c r="C60" s="3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3" t="str">
        <x:v>Insertion Sort realiza floor(n²/4) deslocamentos.</x:v>
      </x:c>
      <x:c r="B61" s="3"/>
      <x:c r="C61" s="3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 t="str">
        <x:v>1 milhão no melhor e no pior caso: testes adicionais do item F. Escalas verticais ajustadas a cada cenário.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 t="str">
        <x:v>Medição inclui alocação e liberação internas. Geração, cópia da entrada e validação ficam fora do tempo.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 t="str">
        <x:v>O eixo horizontal é categórico; a distância entre pontos não representa a diferença numérica entre tamanhos.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pageMargins left="0.7" right="0.7" top="0.75" bottom="0.75" header="0.3" footer="0.3"/>
  <x:drawing xmlns:r="http://schemas.openxmlformats.org/officeDocument/2006/relationships" r:id="R0bb2a990e80142e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Estatísticas dos tempos de ordenação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4" customHeight="1">
      <x:c r="A4" s="8" t="str">
        <x:v>Algoritmo</x:v>
      </x:c>
      <x:c r="B4" s="8" t="str">
        <x:v>Cenário</x:v>
      </x:c>
      <x:c r="C4" s="8" t="str">
        <x:v>Elementos (n)</x:v>
      </x:c>
      <x:c r="D4" s="8" t="str">
        <x:v>Média (s)</x:v>
      </x:c>
      <x:c r="E4" s="8" t="str">
        <x:v>Mediana (s)</x:v>
      </x:c>
      <x:c r="F4" s="8" t="str">
        <x:v>Mínimo (s)</x:v>
      </x:c>
      <x:c r="G4" s="8" t="str">
        <x:v>Máximo (s)</x:v>
      </x:c>
      <x:c r="H4" s="8" t="str">
        <x:v>Desvio padrão (s)</x:v>
      </x:c>
      <x:c r="I4" s="8" t="str">
        <x:v>Repetições</x:v>
      </x:c>
    </x:row>
    <x:row r="5" ht="22" customHeight="1">
      <x:c r="A5" s="1" t="str">
        <x:v>Counting Sort</x:v>
      </x:c>
      <x:c r="B5" s="1" t="str">
        <x:v>aleatorio</x:v>
      </x:c>
      <x:c r="C5" s="9" t="n">
        <x:v>10</x:v>
      </x:c>
      <x:c r="D5" s="10" t="n">
        <x:f>AVERAGE('Medições'!H5,'Medições'!H8,'Medições'!H9)</x:f>
        <x:v>9.333333333333333e-7</x:v>
      </x:c>
      <x:c r="E5" s="10" t="n">
        <x:f>MEDIAN('Medições'!H5,'Medições'!H8,'Medições'!H9)</x:f>
        <x:v>0.0000011</x:v>
      </x:c>
      <x:c r="F5" s="10" t="n">
        <x:f>MIN('Medições'!H5,'Medições'!H8,'Medições'!H9)</x:f>
        <x:v>3e-7</x:v>
      </x:c>
      <x:c r="G5" s="10" t="n">
        <x:f>MAX('Medições'!H5,'Medições'!H8,'Medições'!H9)</x:f>
        <x:v>0.0000014</x:v>
      </x:c>
      <x:c r="H5" s="10" t="n">
        <x:f>STDEV('Medições'!H5,'Medições'!H8,'Medições'!H9)</x:f>
        <x:v>5.686240703077327e-7</x:v>
      </x:c>
      <x:c r="I5" s="11" t="n">
        <x:f>COUNT('Medições'!H5,'Medições'!H8,'Medições'!H9)</x:f>
        <x:v>3</x:v>
      </x:c>
    </x:row>
    <x:row r="6" ht="22" customHeight="1">
      <x:c r="A6" s="1" t="str">
        <x:v>Bucket Sort</x:v>
      </x:c>
      <x:c r="B6" s="1" t="str">
        <x:v>aleatorio</x:v>
      </x:c>
      <x:c r="C6" s="9" t="n">
        <x:v>10</x:v>
      </x:c>
      <x:c r="D6" s="10" t="n">
        <x:f>AVERAGE('Medições'!H6,'Medições'!H7,'Medições'!H10)</x:f>
        <x:v>0.0000017333333333333334</x:v>
      </x:c>
      <x:c r="E6" s="10" t="n">
        <x:f>MEDIAN('Medições'!H6,'Medições'!H7,'Medições'!H10)</x:f>
        <x:v>7e-7</x:v>
      </x:c>
      <x:c r="F6" s="10" t="n">
        <x:f>MIN('Medições'!H6,'Medições'!H7,'Medições'!H10)</x:f>
        <x:v>5e-7</x:v>
      </x:c>
      <x:c r="G6" s="10" t="n">
        <x:f>MAX('Medições'!H6,'Medições'!H7,'Medições'!H10)</x:f>
        <x:v>0.000004</x:v>
      </x:c>
      <x:c r="H6" s="10" t="n">
        <x:f>STDEV('Medições'!H6,'Medições'!H7,'Medições'!H10)</x:f>
        <x:v>0.0000019655363983740758</x:v>
      </x:c>
      <x:c r="I6" s="11" t="n">
        <x:f>COUNT('Medições'!H6,'Medições'!H7,'Medições'!H10)</x:f>
        <x:v>3</x:v>
      </x:c>
    </x:row>
    <x:row r="7" ht="22" customHeight="1">
      <x:c r="A7" s="1" t="str">
        <x:v>Counting Sort</x:v>
      </x:c>
      <x:c r="B7" s="1" t="str">
        <x:v>aleatorio</x:v>
      </x:c>
      <x:c r="C7" s="9" t="n">
        <x:v>100</x:v>
      </x:c>
      <x:c r="D7" s="10" t="n">
        <x:f>AVERAGE('Medições'!H12,'Medições'!H13,'Medições'!H16)</x:f>
        <x:v>0.000009699999999999999</x:v>
      </x:c>
      <x:c r="E7" s="10" t="n">
        <x:f>MEDIAN('Medições'!H12,'Medições'!H13,'Medições'!H16)</x:f>
        <x:v>0.0000065</x:v>
      </x:c>
      <x:c r="F7" s="10" t="n">
        <x:f>MIN('Medições'!H12,'Medições'!H13,'Medições'!H16)</x:f>
        <x:v>0.0000044</x:v>
      </x:c>
      <x:c r="G7" s="10" t="n">
        <x:f>MAX('Medições'!H12,'Medições'!H13,'Medições'!H16)</x:f>
        <x:v>0.0000182</x:v>
      </x:c>
      <x:c r="H7" s="10" t="n">
        <x:f>STDEV('Medições'!H12,'Medições'!H13,'Medições'!H16)</x:f>
        <x:v>0.00000743572457800852</x:v>
      </x:c>
      <x:c r="I7" s="11" t="n">
        <x:f>COUNT('Medições'!H12,'Medições'!H13,'Medições'!H16)</x:f>
        <x:v>3</x:v>
      </x:c>
    </x:row>
    <x:row r="8" ht="22" customHeight="1">
      <x:c r="A8" s="1" t="str">
        <x:v>Bucket Sort</x:v>
      </x:c>
      <x:c r="B8" s="1" t="str">
        <x:v>aleatorio</x:v>
      </x:c>
      <x:c r="C8" s="9" t="n">
        <x:v>100</x:v>
      </x:c>
      <x:c r="D8" s="10" t="n">
        <x:f>AVERAGE('Medições'!H11,'Medições'!H14,'Medições'!H15)</x:f>
        <x:v>0.0000035</x:v>
      </x:c>
      <x:c r="E8" s="10" t="n">
        <x:f>MEDIAN('Medições'!H11,'Medições'!H14,'Medições'!H15)</x:f>
        <x:v>0.0000035</x:v>
      </x:c>
      <x:c r="F8" s="10" t="n">
        <x:f>MIN('Medições'!H11,'Medições'!H14,'Medições'!H15)</x:f>
        <x:v>0.0000025</x:v>
      </x:c>
      <x:c r="G8" s="10" t="n">
        <x:f>MAX('Medições'!H11,'Medições'!H14,'Medições'!H15)</x:f>
        <x:v>0.0000045</x:v>
      </x:c>
      <x:c r="H8" s="10" t="n">
        <x:f>STDEV('Medições'!H11,'Medições'!H14,'Medições'!H15)</x:f>
        <x:v>0.000001</x:v>
      </x:c>
      <x:c r="I8" s="11" t="n">
        <x:f>COUNT('Medições'!H11,'Medições'!H14,'Medições'!H15)</x:f>
        <x:v>3</x:v>
      </x:c>
    </x:row>
    <x:row r="9" ht="22" customHeight="1">
      <x:c r="A9" s="1" t="str">
        <x:v>Counting Sort</x:v>
      </x:c>
      <x:c r="B9" s="1" t="str">
        <x:v>aleatorio</x:v>
      </x:c>
      <x:c r="C9" s="9" t="n">
        <x:v>1000</x:v>
      </x:c>
      <x:c r="D9" s="10" t="n">
        <x:f>AVERAGE('Medições'!H17,'Medições'!H20,'Medições'!H21)</x:f>
        <x:v>0.000027766666666666663</x:v>
      </x:c>
      <x:c r="E9" s="10" t="n">
        <x:f>MEDIAN('Medições'!H17,'Medições'!H20,'Medições'!H21)</x:f>
        <x:v>0.0000389</x:v>
      </x:c>
      <x:c r="F9" s="10" t="n">
        <x:f>MIN('Medições'!H17,'Medições'!H20,'Medições'!H21)</x:f>
        <x:v>0.0000055</x:v>
      </x:c>
      <x:c r="G9" s="10" t="n">
        <x:f>MAX('Medições'!H17,'Medições'!H20,'Medições'!H21)</x:f>
        <x:v>0.0000389</x:v>
      </x:c>
      <x:c r="H9" s="10" t="n">
        <x:f>STDEV('Medições'!H17,'Medições'!H20,'Medições'!H21)</x:f>
        <x:v>0.000019283498990933498</x:v>
      </x:c>
      <x:c r="I9" s="11" t="n">
        <x:f>COUNT('Medições'!H17,'Medições'!H20,'Medições'!H21)</x:f>
        <x:v>3</x:v>
      </x:c>
    </x:row>
    <x:row r="10" ht="22" customHeight="1">
      <x:c r="A10" s="1" t="str">
        <x:v>Bucket Sort</x:v>
      </x:c>
      <x:c r="B10" s="1" t="str">
        <x:v>aleatorio</x:v>
      </x:c>
      <x:c r="C10" s="9" t="n">
        <x:v>1000</x:v>
      </x:c>
      <x:c r="D10" s="10" t="n">
        <x:f>AVERAGE('Medições'!H18,'Medições'!H19,'Medições'!H22)</x:f>
        <x:v>0.000019333333333333333</x:v>
      </x:c>
      <x:c r="E10" s="10" t="n">
        <x:f>MEDIAN('Medições'!H18,'Medições'!H19,'Medições'!H22)</x:f>
        <x:v>0.0000192</x:v>
      </x:c>
      <x:c r="F10" s="10" t="n">
        <x:f>MIN('Medições'!H18,'Medições'!H19,'Medições'!H22)</x:f>
        <x:v>0.0000174</x:v>
      </x:c>
      <x:c r="G10" s="10" t="n">
        <x:f>MAX('Medições'!H18,'Medições'!H19,'Medições'!H22)</x:f>
        <x:v>0.0000214</x:v>
      </x:c>
      <x:c r="H10" s="10" t="n">
        <x:f>STDEV('Medições'!H18,'Medições'!H19,'Medições'!H22)</x:f>
        <x:v>0.000002003330560175562</x:v>
      </x:c>
      <x:c r="I10" s="11" t="n">
        <x:f>COUNT('Medições'!H18,'Medições'!H19,'Medições'!H22)</x:f>
        <x:v>3</x:v>
      </x:c>
    </x:row>
    <x:row r="11" ht="22" customHeight="1">
      <x:c r="A11" s="1" t="str">
        <x:v>Counting Sort</x:v>
      </x:c>
      <x:c r="B11" s="1" t="str">
        <x:v>aleatorio</x:v>
      </x:c>
      <x:c r="C11" s="9" t="n">
        <x:v>5000</x:v>
      </x:c>
      <x:c r="D11" s="10" t="n">
        <x:f>AVERAGE('Medições'!H24,'Medições'!H25,'Medições'!H28)</x:f>
        <x:v>0.0001182</x:v>
      </x:c>
      <x:c r="E11" s="10" t="n">
        <x:f>MEDIAN('Medições'!H24,'Medições'!H25,'Medições'!H28)</x:f>
        <x:v>0.0001573</x:v>
      </x:c>
      <x:c r="F11" s="10" t="n">
        <x:f>MIN('Medições'!H24,'Medições'!H25,'Medições'!H28)</x:f>
        <x:v>0.0000321</x:v>
      </x:c>
      <x:c r="G11" s="10" t="n">
        <x:f>MAX('Medições'!H24,'Medições'!H25,'Medições'!H28)</x:f>
        <x:v>0.0001652</x:v>
      </x:c>
      <x:c r="H11" s="10" t="n">
        <x:f>STDEV('Medições'!H24,'Medições'!H25,'Medições'!H28)</x:f>
        <x:v>0.00007466933774984215</x:v>
      </x:c>
      <x:c r="I11" s="11" t="n">
        <x:f>COUNT('Medições'!H24,'Medições'!H25,'Medições'!H28)</x:f>
        <x:v>3</x:v>
      </x:c>
    </x:row>
    <x:row r="12" ht="22" customHeight="1">
      <x:c r="A12" s="1" t="str">
        <x:v>Bucket Sort</x:v>
      </x:c>
      <x:c r="B12" s="1" t="str">
        <x:v>aleatorio</x:v>
      </x:c>
      <x:c r="C12" s="9" t="n">
        <x:v>5000</x:v>
      </x:c>
      <x:c r="D12" s="10" t="n">
        <x:f>AVERAGE('Medições'!H23,'Medições'!H26,'Medições'!H27)</x:f>
        <x:v>0.00009673333333333333</x:v>
      </x:c>
      <x:c r="E12" s="10" t="n">
        <x:f>MEDIAN('Medições'!H23,'Medições'!H26,'Medições'!H27)</x:f>
        <x:v>0.0000975</x:v>
      </x:c>
      <x:c r="F12" s="10" t="n">
        <x:f>MIN('Medições'!H23,'Medições'!H26,'Medições'!H27)</x:f>
        <x:v>0.000091</x:v>
      </x:c>
      <x:c r="G12" s="10" t="n">
        <x:f>MAX('Medições'!H23,'Medições'!H26,'Medições'!H27)</x:f>
        <x:v>0.0001017</x:v>
      </x:c>
      <x:c r="H12" s="10" t="n">
        <x:f>STDEV('Medições'!H23,'Medições'!H26,'Medições'!H27)</x:f>
        <x:v>0.000005391041952473876</x:v>
      </x:c>
      <x:c r="I12" s="11" t="n">
        <x:f>COUNT('Medições'!H23,'Medições'!H26,'Medições'!H27)</x:f>
        <x:v>3</x:v>
      </x:c>
    </x:row>
    <x:row r="13" ht="22" customHeight="1">
      <x:c r="A13" s="1" t="str">
        <x:v>Counting Sort</x:v>
      </x:c>
      <x:c r="B13" s="1" t="str">
        <x:v>aleatorio</x:v>
      </x:c>
      <x:c r="C13" s="9" t="n">
        <x:v>10000</x:v>
      </x:c>
      <x:c r="D13" s="10" t="n">
        <x:f>AVERAGE('Medições'!H29,'Medições'!H32,'Medições'!H33)</x:f>
        <x:v>0.00019683333333333334</x:v>
      </x:c>
      <x:c r="E13" s="10" t="n">
        <x:f>MEDIAN('Medições'!H29,'Medições'!H32,'Medições'!H33)</x:f>
        <x:v>0.0002556</x:v>
      </x:c>
      <x:c r="F13" s="10" t="n">
        <x:f>MIN('Medições'!H29,'Medições'!H32,'Medições'!H33)</x:f>
        <x:v>0.0000712</x:v>
      </x:c>
      <x:c r="G13" s="10" t="n">
        <x:f>MAX('Medições'!H29,'Medições'!H32,'Medições'!H33)</x:f>
        <x:v>0.0002637</x:v>
      </x:c>
      <x:c r="H13" s="10" t="n">
        <x:f>STDEV('Medições'!H29,'Medições'!H32,'Medições'!H33)</x:f>
        <x:v>0.00010887701012304357</x:v>
      </x:c>
      <x:c r="I13" s="11" t="n">
        <x:f>COUNT('Medições'!H29,'Medições'!H32,'Medições'!H33)</x:f>
        <x:v>3</x:v>
      </x:c>
    </x:row>
    <x:row r="14" ht="22" customHeight="1">
      <x:c r="A14" s="1" t="str">
        <x:v>Bucket Sort</x:v>
      </x:c>
      <x:c r="B14" s="1" t="str">
        <x:v>aleatorio</x:v>
      </x:c>
      <x:c r="C14" s="9" t="n">
        <x:v>10000</x:v>
      </x:c>
      <x:c r="D14" s="10" t="n">
        <x:f>AVERAGE('Medições'!H30,'Medições'!H31,'Medições'!H34)</x:f>
        <x:v>0.00024043333333333334</x:v>
      </x:c>
      <x:c r="E14" s="10" t="n">
        <x:f>MEDIAN('Medições'!H30,'Medições'!H31,'Medições'!H34)</x:f>
        <x:v>0.0002484</x:v>
      </x:c>
      <x:c r="F14" s="10" t="n">
        <x:f>MIN('Medições'!H30,'Medições'!H31,'Medições'!H34)</x:f>
        <x:v>0.000191</x:v>
      </x:c>
      <x:c r="G14" s="10" t="n">
        <x:f>MAX('Medições'!H30,'Medições'!H31,'Medições'!H34)</x:f>
        <x:v>0.0002819</x:v>
      </x:c>
      <x:c r="H14" s="10" t="n">
        <x:f>STDEV('Medições'!H30,'Medições'!H31,'Medições'!H34)</x:f>
        <x:v>0.0000459706790610421</x:v>
      </x:c>
      <x:c r="I14" s="11" t="n">
        <x:f>COUNT('Medições'!H30,'Medições'!H31,'Medições'!H34)</x:f>
        <x:v>3</x:v>
      </x:c>
    </x:row>
    <x:row r="15" ht="22" customHeight="1">
      <x:c r="A15" s="1" t="str">
        <x:v>Counting Sort</x:v>
      </x:c>
      <x:c r="B15" s="1" t="str">
        <x:v>aleatorio</x:v>
      </x:c>
      <x:c r="C15" s="9" t="n">
        <x:v>50000</x:v>
      </x:c>
      <x:c r="D15" s="10" t="n">
        <x:f>AVERAGE('Medições'!H36,'Medições'!H37,'Medições'!H40)</x:f>
        <x:v>0.0019489666666666669</x:v>
      </x:c>
      <x:c r="E15" s="10" t="n">
        <x:f>MEDIAN('Medições'!H36,'Medições'!H37,'Medições'!H40)</x:f>
        <x:v>0.0019198</x:v>
      </x:c>
      <x:c r="F15" s="10" t="n">
        <x:f>MIN('Medições'!H36,'Medições'!H37,'Medições'!H40)</x:f>
        <x:v>0.0017176</x:v>
      </x:c>
      <x:c r="G15" s="10" t="n">
        <x:f>MAX('Medições'!H36,'Medições'!H37,'Medições'!H40)</x:f>
        <x:v>0.0022095</x:v>
      </x:c>
      <x:c r="H15" s="10" t="n">
        <x:f>STDEV('Medições'!H36,'Medições'!H37,'Medições'!H40)</x:f>
        <x:v>0.0002472436517553755</x:v>
      </x:c>
      <x:c r="I15" s="11" t="n">
        <x:f>COUNT('Medições'!H36,'Medições'!H37,'Medições'!H40)</x:f>
        <x:v>3</x:v>
      </x:c>
    </x:row>
    <x:row r="16" ht="22" customHeight="1">
      <x:c r="A16" s="1" t="str">
        <x:v>Bucket Sort</x:v>
      </x:c>
      <x:c r="B16" s="1" t="str">
        <x:v>aleatorio</x:v>
      </x:c>
      <x:c r="C16" s="9" t="n">
        <x:v>50000</x:v>
      </x:c>
      <x:c r="D16" s="10" t="n">
        <x:f>AVERAGE('Medições'!H35,'Medições'!H38,'Medições'!H39)</x:f>
        <x:v>0.0007519333333333334</x:v>
      </x:c>
      <x:c r="E16" s="10" t="n">
        <x:f>MEDIAN('Medições'!H35,'Medições'!H38,'Medições'!H39)</x:f>
        <x:v>0.0007704</x:v>
      </x:c>
      <x:c r="F16" s="10" t="n">
        <x:f>MIN('Medições'!H35,'Medições'!H38,'Medições'!H39)</x:f>
        <x:v>0.0006844</x:v>
      </x:c>
      <x:c r="G16" s="10" t="n">
        <x:f>MAX('Medições'!H35,'Medições'!H38,'Medições'!H39)</x:f>
        <x:v>0.000801</x:v>
      </x:c>
      <x:c r="H16" s="10" t="n">
        <x:f>STDEV('Medições'!H35,'Medições'!H38,'Medições'!H39)</x:f>
        <x:v>0.00006045372886210847</x:v>
      </x:c>
      <x:c r="I16" s="11" t="n">
        <x:f>COUNT('Medições'!H35,'Medições'!H38,'Medições'!H39)</x:f>
        <x:v>3</x:v>
      </x:c>
    </x:row>
    <x:row r="17" ht="22" customHeight="1">
      <x:c r="A17" s="1" t="str">
        <x:v>Counting Sort</x:v>
      </x:c>
      <x:c r="B17" s="1" t="str">
        <x:v>aleatorio</x:v>
      </x:c>
      <x:c r="C17" s="9" t="n">
        <x:v>100000</x:v>
      </x:c>
      <x:c r="D17" s="10" t="n">
        <x:f>AVERAGE('Medições'!H41,'Medições'!H44,'Medições'!H45)</x:f>
        <x:v>0.004632666666666666</x:v>
      </x:c>
      <x:c r="E17" s="10" t="n">
        <x:f>MEDIAN('Medições'!H41,'Medições'!H44,'Medições'!H45)</x:f>
        <x:v>0.0041837</x:v>
      </x:c>
      <x:c r="F17" s="10" t="n">
        <x:f>MIN('Medições'!H41,'Medições'!H44,'Medições'!H45)</x:f>
        <x:v>0.0040522</x:v>
      </x:c>
      <x:c r="G17" s="10" t="n">
        <x:f>MAX('Medições'!H41,'Medições'!H44,'Medições'!H45)</x:f>
        <x:v>0.0056621</x:v>
      </x:c>
      <x:c r="H17" s="10" t="n">
        <x:f>STDEV('Medições'!H41,'Medições'!H44,'Medições'!H45)</x:f>
        <x:v>0.0008939366886605187</x:v>
      </x:c>
      <x:c r="I17" s="11" t="n">
        <x:f>COUNT('Medições'!H41,'Medições'!H44,'Medições'!H45)</x:f>
        <x:v>3</x:v>
      </x:c>
    </x:row>
    <x:row r="18" ht="22" customHeight="1">
      <x:c r="A18" s="1" t="str">
        <x:v>Bucket Sort</x:v>
      </x:c>
      <x:c r="B18" s="1" t="str">
        <x:v>aleatorio</x:v>
      </x:c>
      <x:c r="C18" s="9" t="n">
        <x:v>100000</x:v>
      </x:c>
      <x:c r="D18" s="10" t="n">
        <x:f>AVERAGE('Medições'!H42,'Medições'!H43,'Medições'!H46)</x:f>
        <x:v>0.0019632666666666667</x:v>
      </x:c>
      <x:c r="E18" s="10" t="n">
        <x:f>MEDIAN('Medições'!H42,'Medições'!H43,'Medições'!H46)</x:f>
        <x:v>0.0020582</x:v>
      </x:c>
      <x:c r="F18" s="10" t="n">
        <x:f>MIN('Medições'!H42,'Medições'!H43,'Medições'!H46)</x:f>
        <x:v>0.0017423</x:v>
      </x:c>
      <x:c r="G18" s="10" t="n">
        <x:f>MAX('Medições'!H42,'Medições'!H43,'Medições'!H46)</x:f>
        <x:v>0.0020893</x:v>
      </x:c>
      <x:c r="H18" s="10" t="n">
        <x:f>STDEV('Medições'!H42,'Medições'!H43,'Medições'!H46)</x:f>
        <x:v>0.00019199349815380039</x:v>
      </x:c>
      <x:c r="I18" s="11" t="n">
        <x:f>COUNT('Medições'!H42,'Medições'!H43,'Medições'!H46)</x:f>
        <x:v>3</x:v>
      </x:c>
    </x:row>
    <x:row r="19" ht="22" customHeight="1">
      <x:c r="A19" s="1" t="str">
        <x:v>Counting Sort</x:v>
      </x:c>
      <x:c r="B19" s="1" t="str">
        <x:v>aleatorio</x:v>
      </x:c>
      <x:c r="C19" s="9" t="n">
        <x:v>500000</x:v>
      </x:c>
      <x:c r="D19" s="10" t="n">
        <x:f>AVERAGE('Medições'!H48,'Medições'!H49,'Medições'!H52)</x:f>
        <x:v>0.04420073333333333</x:v>
      </x:c>
      <x:c r="E19" s="10" t="n">
        <x:f>MEDIAN('Medições'!H48,'Medições'!H49,'Medições'!H52)</x:f>
        <x:v>0.0339077</x:v>
      </x:c>
      <x:c r="F19" s="10" t="n">
        <x:f>MIN('Medições'!H48,'Medições'!H49,'Medições'!H52)</x:f>
        <x:v>0.0298859</x:v>
      </x:c>
      <x:c r="G19" s="10" t="n">
        <x:f>MAX('Medições'!H48,'Medições'!H49,'Medições'!H52)</x:f>
        <x:v>0.0688086</x:v>
      </x:c>
      <x:c r="H19" s="10" t="n">
        <x:f>STDEV('Medições'!H48,'Medições'!H49,'Medições'!H52)</x:f>
        <x:v>0.021405701231759104</x:v>
      </x:c>
      <x:c r="I19" s="11" t="n">
        <x:f>COUNT('Medições'!H48,'Medições'!H49,'Medições'!H52)</x:f>
        <x:v>3</x:v>
      </x:c>
    </x:row>
    <x:row r="20" ht="22" customHeight="1">
      <x:c r="A20" s="1" t="str">
        <x:v>Bucket Sort</x:v>
      </x:c>
      <x:c r="B20" s="1" t="str">
        <x:v>aleatorio</x:v>
      </x:c>
      <x:c r="C20" s="9" t="n">
        <x:v>500000</x:v>
      </x:c>
      <x:c r="D20" s="10" t="n">
        <x:f>AVERAGE('Medições'!H47,'Medições'!H50,'Medições'!H51)</x:f>
        <x:v>0.015235300000000002</x:v>
      </x:c>
      <x:c r="E20" s="10" t="n">
        <x:f>MEDIAN('Medições'!H47,'Medições'!H50,'Medições'!H51)</x:f>
        <x:v>0.0123072</x:v>
      </x:c>
      <x:c r="F20" s="10" t="n">
        <x:f>MIN('Medições'!H47,'Medições'!H50,'Medições'!H51)</x:f>
        <x:v>0.0110999</x:v>
      </x:c>
      <x:c r="G20" s="10" t="n">
        <x:f>MAX('Medições'!H47,'Medições'!H50,'Medições'!H51)</x:f>
        <x:v>0.0222988</x:v>
      </x:c>
      <x:c r="H20" s="10" t="n">
        <x:f>STDEV('Medições'!H47,'Medições'!H50,'Medições'!H51)</x:f>
        <x:v>0.006146882747376918</x:v>
      </x:c>
      <x:c r="I20" s="11" t="n">
        <x:f>COUNT('Medições'!H47,'Medições'!H50,'Medições'!H51)</x:f>
        <x:v>3</x:v>
      </x:c>
    </x:row>
    <x:row r="21" ht="22" customHeight="1">
      <x:c r="A21" s="1" t="str">
        <x:v>Counting Sort</x:v>
      </x:c>
      <x:c r="B21" s="1" t="str">
        <x:v>aleatorio</x:v>
      </x:c>
      <x:c r="C21" s="9" t="n">
        <x:v>1000000</x:v>
      </x:c>
      <x:c r="D21" s="10" t="n">
        <x:f>AVERAGE('Medições'!H53,'Medições'!H56,'Medições'!H57)</x:f>
        <x:v>0.06710250000000001</x:v>
      </x:c>
      <x:c r="E21" s="10" t="n">
        <x:f>MEDIAN('Medições'!H53,'Medições'!H56,'Medições'!H57)</x:f>
        <x:v>0.0689743</x:v>
      </x:c>
      <x:c r="F21" s="10" t="n">
        <x:f>MIN('Medições'!H53,'Medições'!H56,'Medições'!H57)</x:f>
        <x:v>0.0596804</x:v>
      </x:c>
      <x:c r="G21" s="10" t="n">
        <x:f>MAX('Medições'!H53,'Medições'!H56,'Medições'!H57)</x:f>
        <x:v>0.0726528</x:v>
      </x:c>
      <x:c r="H21" s="10" t="n">
        <x:f>STDEV('Medições'!H53,'Medições'!H56,'Medições'!H57)</x:f>
        <x:v>0.006685694942936001</x:v>
      </x:c>
      <x:c r="I21" s="11" t="n">
        <x:f>COUNT('Medições'!H53,'Medições'!H56,'Medições'!H57)</x:f>
        <x:v>3</x:v>
      </x:c>
    </x:row>
    <x:row r="22" ht="22" customHeight="1">
      <x:c r="A22" s="1" t="str">
        <x:v>Bucket Sort</x:v>
      </x:c>
      <x:c r="B22" s="1" t="str">
        <x:v>aleatorio</x:v>
      </x:c>
      <x:c r="C22" s="9" t="n">
        <x:v>1000000</x:v>
      </x:c>
      <x:c r="D22" s="10" t="n">
        <x:f>AVERAGE('Medições'!H54,'Medições'!H55,'Medições'!H58)</x:f>
        <x:v>0.02319046666666667</x:v>
      </x:c>
      <x:c r="E22" s="10" t="n">
        <x:f>MEDIAN('Medições'!H54,'Medições'!H55,'Medições'!H58)</x:f>
        <x:v>0.0226294</x:v>
      </x:c>
      <x:c r="F22" s="10" t="n">
        <x:f>MIN('Medições'!H54,'Medições'!H55,'Medições'!H58)</x:f>
        <x:v>0.0220268</x:v>
      </x:c>
      <x:c r="G22" s="10" t="n">
        <x:f>MAX('Medições'!H54,'Medições'!H55,'Medições'!H58)</x:f>
        <x:v>0.0249152</x:v>
      </x:c>
      <x:c r="H22" s="10" t="n">
        <x:f>STDEV('Medições'!H54,'Medições'!H55,'Medições'!H58)</x:f>
        <x:v>0.0015237488288209877</x:v>
      </x:c>
      <x:c r="I22" s="11" t="n">
        <x:f>COUNT('Medições'!H54,'Medições'!H55,'Medições'!H58)</x:f>
        <x:v>3</x:v>
      </x:c>
    </x:row>
    <x:row r="23" ht="22" customHeight="1">
      <x:c r="A23" s="1" t="str">
        <x:v>Counting Sort</x:v>
      </x:c>
      <x:c r="B23" s="1" t="str">
        <x:v>melhor</x:v>
      </x:c>
      <x:c r="C23" s="9" t="n">
        <x:v>10</x:v>
      </x:c>
      <x:c r="D23" s="10" t="n">
        <x:f>AVERAGE('Medições'!H60,'Medições'!H61,'Medições'!H64)</x:f>
        <x:v>0.00005336666666666667</x:v>
      </x:c>
      <x:c r="E23" s="10" t="n">
        <x:f>MEDIAN('Medições'!H60,'Medições'!H61,'Medições'!H64)</x:f>
        <x:v>0.0000037</x:v>
      </x:c>
      <x:c r="F23" s="10" t="n">
        <x:f>MIN('Medições'!H60,'Medições'!H61,'Medições'!H64)</x:f>
        <x:v>0.0000011</x:v>
      </x:c>
      <x:c r="G23" s="10" t="n">
        <x:f>MAX('Medições'!H60,'Medições'!H61,'Medições'!H64)</x:f>
        <x:v>0.0001553</x:v>
      </x:c>
      <x:c r="H23" s="10" t="n">
        <x:f>STDEV('Medições'!H60,'Medições'!H61,'Medições'!H64)</x:f>
        <x:v>0.00008828642779801057</x:v>
      </x:c>
      <x:c r="I23" s="11" t="n">
        <x:f>COUNT('Medições'!H60,'Medições'!H61,'Medições'!H64)</x:f>
        <x:v>3</x:v>
      </x:c>
    </x:row>
    <x:row r="24" ht="22" customHeight="1">
      <x:c r="A24" s="1" t="str">
        <x:v>Bucket Sort</x:v>
      </x:c>
      <x:c r="B24" s="1" t="str">
        <x:v>melhor</x:v>
      </x:c>
      <x:c r="C24" s="9" t="n">
        <x:v>10</x:v>
      </x:c>
      <x:c r="D24" s="10" t="n">
        <x:f>AVERAGE('Medições'!H59,'Medições'!H62,'Medições'!H63)</x:f>
        <x:v>9e-7</x:v>
      </x:c>
      <x:c r="E24" s="10" t="n">
        <x:f>MEDIAN('Medições'!H59,'Medições'!H62,'Medições'!H63)</x:f>
        <x:v>0.0000011</x:v>
      </x:c>
      <x:c r="F24" s="10" t="n">
        <x:f>MIN('Medições'!H59,'Medições'!H62,'Medições'!H63)</x:f>
        <x:v>4e-7</x:v>
      </x:c>
      <x:c r="G24" s="10" t="n">
        <x:f>MAX('Medições'!H59,'Medições'!H62,'Medições'!H63)</x:f>
        <x:v>0.0000012</x:v>
      </x:c>
      <x:c r="H24" s="10" t="n">
        <x:f>STDEV('Medições'!H59,'Medições'!H62,'Medições'!H63)</x:f>
        <x:v>4.3588989435406735e-7</x:v>
      </x:c>
      <x:c r="I24" s="11" t="n">
        <x:f>COUNT('Medições'!H59,'Medições'!H62,'Medições'!H63)</x:f>
        <x:v>3</x:v>
      </x:c>
    </x:row>
    <x:row r="25" ht="22" customHeight="1">
      <x:c r="A25" s="1" t="str">
        <x:v>Counting Sort</x:v>
      </x:c>
      <x:c r="B25" s="1" t="str">
        <x:v>melhor</x:v>
      </x:c>
      <x:c r="C25" s="9" t="n">
        <x:v>100</x:v>
      </x:c>
      <x:c r="D25" s="10" t="n">
        <x:f>AVERAGE('Medições'!H65,'Medições'!H68,'Medições'!H69)</x:f>
        <x:v>0.000008</x:v>
      </x:c>
      <x:c r="E25" s="10" t="n">
        <x:f>MEDIAN('Medições'!H65,'Medições'!H68,'Medições'!H69)</x:f>
        <x:v>0.0000071</x:v>
      </x:c>
      <x:c r="F25" s="10" t="n">
        <x:f>MIN('Medições'!H65,'Medições'!H68,'Medições'!H69)</x:f>
        <x:v>0.0000058</x:v>
      </x:c>
      <x:c r="G25" s="10" t="n">
        <x:f>MAX('Medições'!H65,'Medições'!H68,'Medições'!H69)</x:f>
        <x:v>0.0000111</x:v>
      </x:c>
      <x:c r="H25" s="10" t="n">
        <x:f>STDEV('Medições'!H65,'Medições'!H68,'Medições'!H69)</x:f>
        <x:v>0.0000027622454633866268</x:v>
      </x:c>
      <x:c r="I25" s="11" t="n">
        <x:f>COUNT('Medições'!H65,'Medições'!H68,'Medições'!H69)</x:f>
        <x:v>3</x:v>
      </x:c>
    </x:row>
    <x:row r="26" ht="22" customHeight="1">
      <x:c r="A26" s="1" t="str">
        <x:v>Bucket Sort</x:v>
      </x:c>
      <x:c r="B26" s="1" t="str">
        <x:v>melhor</x:v>
      </x:c>
      <x:c r="C26" s="9" t="n">
        <x:v>100</x:v>
      </x:c>
      <x:c r="D26" s="10" t="n">
        <x:f>AVERAGE('Medições'!H66,'Medições'!H67,'Medições'!H70)</x:f>
        <x:v>0.0000021000000000000002</x:v>
      </x:c>
      <x:c r="E26" s="10" t="n">
        <x:f>MEDIAN('Medições'!H66,'Medições'!H67,'Medições'!H70)</x:f>
        <x:v>0.0000021</x:v>
      </x:c>
      <x:c r="F26" s="10" t="n">
        <x:f>MIN('Medições'!H66,'Medições'!H67,'Medições'!H70)</x:f>
        <x:v>0.0000012</x:v>
      </x:c>
      <x:c r="G26" s="10" t="n">
        <x:f>MAX('Medições'!H66,'Medições'!H67,'Medições'!H70)</x:f>
        <x:v>0.000003</x:v>
      </x:c>
      <x:c r="H26" s="10" t="n">
        <x:f>STDEV('Medições'!H66,'Medições'!H67,'Medições'!H70)</x:f>
        <x:v>9.000000000000001e-7</x:v>
      </x:c>
      <x:c r="I26" s="11" t="n">
        <x:f>COUNT('Medições'!H66,'Medições'!H67,'Medições'!H70)</x:f>
        <x:v>3</x:v>
      </x:c>
    </x:row>
    <x:row r="27" ht="22" customHeight="1">
      <x:c r="A27" s="1" t="str">
        <x:v>Counting Sort</x:v>
      </x:c>
      <x:c r="B27" s="1" t="str">
        <x:v>melhor</x:v>
      </x:c>
      <x:c r="C27" s="9" t="n">
        <x:v>1000</x:v>
      </x:c>
      <x:c r="D27" s="10" t="n">
        <x:f>AVERAGE('Medições'!H72,'Medições'!H73,'Medições'!H76)</x:f>
        <x:v>0.000025800000000000004</x:v>
      </x:c>
      <x:c r="E27" s="10" t="n">
        <x:f>MEDIAN('Medições'!H72,'Medições'!H73,'Medições'!H76)</x:f>
        <x:v>0.0000354</x:v>
      </x:c>
      <x:c r="F27" s="10" t="n">
        <x:f>MIN('Medições'!H72,'Medições'!H73,'Medições'!H76)</x:f>
        <x:v>0.0000059</x:v>
      </x:c>
      <x:c r="G27" s="10" t="n">
        <x:f>MAX('Medições'!H72,'Medições'!H73,'Medições'!H76)</x:f>
        <x:v>0.0000361</x:v>
      </x:c>
      <x:c r="H27" s="10" t="n">
        <x:f>STDEV('Medições'!H72,'Medições'!H73,'Medições'!H76)</x:f>
        <x:v>0.000017237459209523893</x:v>
      </x:c>
      <x:c r="I27" s="11" t="n">
        <x:f>COUNT('Medições'!H72,'Medições'!H73,'Medições'!H76)</x:f>
        <x:v>3</x:v>
      </x:c>
    </x:row>
    <x:row r="28" ht="22" customHeight="1">
      <x:c r="A28" s="1" t="str">
        <x:v>Bucket Sort</x:v>
      </x:c>
      <x:c r="B28" s="1" t="str">
        <x:v>melhor</x:v>
      </x:c>
      <x:c r="C28" s="9" t="n">
        <x:v>1000</x:v>
      </x:c>
      <x:c r="D28" s="10" t="n">
        <x:f>AVERAGE('Medições'!H71,'Medições'!H74,'Medições'!H75)</x:f>
        <x:v>0.000015366666666666666</x:v>
      </x:c>
      <x:c r="E28" s="10" t="n">
        <x:f>MEDIAN('Medições'!H71,'Medições'!H74,'Medições'!H75)</x:f>
        <x:v>0.0000163</x:v>
      </x:c>
      <x:c r="F28" s="10" t="n">
        <x:f>MIN('Medições'!H71,'Medições'!H74,'Medições'!H75)</x:f>
        <x:v>0.0000134</x:v>
      </x:c>
      <x:c r="G28" s="10" t="n">
        <x:f>MAX('Medições'!H71,'Medições'!H74,'Medições'!H75)</x:f>
        <x:v>0.0000164</x:v>
      </x:c>
      <x:c r="H28" s="10" t="n">
        <x:f>STDEV('Medições'!H71,'Medições'!H74,'Medições'!H75)</x:f>
        <x:v>0.0000017039170558842736</x:v>
      </x:c>
      <x:c r="I28" s="11" t="n">
        <x:f>COUNT('Medições'!H71,'Medições'!H74,'Medições'!H75)</x:f>
        <x:v>3</x:v>
      </x:c>
    </x:row>
    <x:row r="29" ht="22" customHeight="1">
      <x:c r="A29" s="1" t="str">
        <x:v>Counting Sort</x:v>
      </x:c>
      <x:c r="B29" s="1" t="str">
        <x:v>melhor</x:v>
      </x:c>
      <x:c r="C29" s="9" t="n">
        <x:v>5000</x:v>
      </x:c>
      <x:c r="D29" s="10" t="n">
        <x:f>AVERAGE('Medições'!H77,'Medições'!H80,'Medições'!H81)</x:f>
        <x:v>0.0000966</x:v>
      </x:c>
      <x:c r="E29" s="10" t="n">
        <x:f>MEDIAN('Medições'!H77,'Medições'!H80,'Medições'!H81)</x:f>
        <x:v>0.0001165</x:v>
      </x:c>
      <x:c r="F29" s="10" t="n">
        <x:f>MIN('Medições'!H77,'Medições'!H80,'Medições'!H81)</x:f>
        <x:v>0.0000399</x:v>
      </x:c>
      <x:c r="G29" s="10" t="n">
        <x:f>MAX('Medições'!H77,'Medições'!H80,'Medições'!H81)</x:f>
        <x:v>0.0001334</x:v>
      </x:c>
      <x:c r="H29" s="10" t="n">
        <x:f>STDEV('Medições'!H77,'Medições'!H80,'Medições'!H81)</x:f>
        <x:v>0.0000498253951313986</x:v>
      </x:c>
      <x:c r="I29" s="11" t="n">
        <x:f>COUNT('Medições'!H77,'Medições'!H80,'Medições'!H81)</x:f>
        <x:v>3</x:v>
      </x:c>
    </x:row>
    <x:row r="30" ht="22" customHeight="1">
      <x:c r="A30" s="1" t="str">
        <x:v>Bucket Sort</x:v>
      </x:c>
      <x:c r="B30" s="1" t="str">
        <x:v>melhor</x:v>
      </x:c>
      <x:c r="C30" s="9" t="n">
        <x:v>5000</x:v>
      </x:c>
      <x:c r="D30" s="10" t="n">
        <x:f>AVERAGE('Medições'!H78,'Medições'!H79,'Medições'!H82)</x:f>
        <x:v>0.00010059999999999999</x:v>
      </x:c>
      <x:c r="E30" s="10" t="n">
        <x:f>MEDIAN('Medições'!H78,'Medições'!H79,'Medições'!H82)</x:f>
        <x:v>0.0001093</x:v>
      </x:c>
      <x:c r="F30" s="10" t="n">
        <x:f>MIN('Medições'!H78,'Medições'!H79,'Medições'!H82)</x:f>
        <x:v>0.0000773</x:v>
      </x:c>
      <x:c r="G30" s="10" t="n">
        <x:f>MAX('Medições'!H78,'Medições'!H79,'Medições'!H82)</x:f>
        <x:v>0.0001152</x:v>
      </x:c>
      <x:c r="H30" s="10" t="n">
        <x:f>STDEV('Medições'!H78,'Medições'!H79,'Medições'!H82)</x:f>
        <x:v>0.000020392890918160674</x:v>
      </x:c>
      <x:c r="I30" s="11" t="n">
        <x:f>COUNT('Medições'!H78,'Medições'!H79,'Medições'!H82)</x:f>
        <x:v>3</x:v>
      </x:c>
    </x:row>
    <x:row r="31" ht="22" customHeight="1">
      <x:c r="A31" s="1" t="str">
        <x:v>Counting Sort</x:v>
      </x:c>
      <x:c r="B31" s="1" t="str">
        <x:v>melhor</x:v>
      </x:c>
      <x:c r="C31" s="9" t="n">
        <x:v>10000</x:v>
      </x:c>
      <x:c r="D31" s="10" t="n">
        <x:f>AVERAGE('Medições'!H84,'Medições'!H85,'Medições'!H88)</x:f>
        <x:v>0.00019126666666666666</x:v>
      </x:c>
      <x:c r="E31" s="10" t="n">
        <x:f>MEDIAN('Medições'!H84,'Medições'!H85,'Medições'!H88)</x:f>
        <x:v>0.0002307</x:v>
      </x:c>
      <x:c r="F31" s="10" t="n">
        <x:f>MIN('Medições'!H84,'Medições'!H85,'Medições'!H88)</x:f>
        <x:v>0.0000673</x:v>
      </x:c>
      <x:c r="G31" s="10" t="n">
        <x:f>MAX('Medições'!H84,'Medições'!H85,'Medições'!H88)</x:f>
        <x:v>0.0002758</x:v>
      </x:c>
      <x:c r="H31" s="10" t="n">
        <x:f>STDEV('Medições'!H84,'Medições'!H85,'Medições'!H88)</x:f>
        <x:v>0.00010970097234452088</x:v>
      </x:c>
      <x:c r="I31" s="11" t="n">
        <x:f>COUNT('Medições'!H84,'Medições'!H85,'Medições'!H88)</x:f>
        <x:v>3</x:v>
      </x:c>
    </x:row>
    <x:row r="32" ht="22" customHeight="1">
      <x:c r="A32" s="1" t="str">
        <x:v>Bucket Sort</x:v>
      </x:c>
      <x:c r="B32" s="1" t="str">
        <x:v>melhor</x:v>
      </x:c>
      <x:c r="C32" s="9" t="n">
        <x:v>10000</x:v>
      </x:c>
      <x:c r="D32" s="10" t="n">
        <x:f>AVERAGE('Medições'!H83,'Medições'!H86,'Medições'!H87)</x:f>
        <x:v>0.00014863333333333336</x:v>
      </x:c>
      <x:c r="E32" s="10" t="n">
        <x:f>MEDIAN('Medições'!H83,'Medições'!H86,'Medições'!H87)</x:f>
        <x:v>0.0001326</x:v>
      </x:c>
      <x:c r="F32" s="10" t="n">
        <x:f>MIN('Medições'!H83,'Medições'!H86,'Medições'!H87)</x:f>
        <x:v>0.0001243</x:v>
      </x:c>
      <x:c r="G32" s="10" t="n">
        <x:f>MAX('Medições'!H83,'Medições'!H86,'Medições'!H87)</x:f>
        <x:v>0.000189</x:v>
      </x:c>
      <x:c r="H32" s="10" t="n">
        <x:f>STDEV('Medições'!H83,'Medições'!H86,'Medições'!H87)</x:f>
        <x:v>0.00003520402439115922</x:v>
      </x:c>
      <x:c r="I32" s="11" t="n">
        <x:f>COUNT('Medições'!H83,'Medições'!H86,'Medições'!H87)</x:f>
        <x:v>3</x:v>
      </x:c>
    </x:row>
    <x:row r="33" ht="22" customHeight="1">
      <x:c r="A33" s="1" t="str">
        <x:v>Counting Sort</x:v>
      </x:c>
      <x:c r="B33" s="1" t="str">
        <x:v>melhor</x:v>
      </x:c>
      <x:c r="C33" s="9" t="n">
        <x:v>50000</x:v>
      </x:c>
      <x:c r="D33" s="10" t="n">
        <x:f>AVERAGE('Medições'!H89,'Medições'!H92,'Medições'!H93)</x:f>
        <x:v>0.002769066666666667</x:v>
      </x:c>
      <x:c r="E33" s="10" t="n">
        <x:f>MEDIAN('Medições'!H89,'Medições'!H92,'Medições'!H93)</x:f>
        <x:v>0.0029597</x:v>
      </x:c>
      <x:c r="F33" s="10" t="n">
        <x:f>MIN('Medições'!H89,'Medições'!H92,'Medições'!H93)</x:f>
        <x:v>0.0022943</x:v>
      </x:c>
      <x:c r="G33" s="10" t="n">
        <x:f>MAX('Medições'!H89,'Medições'!H92,'Medições'!H93)</x:f>
        <x:v>0.0030532</x:v>
      </x:c>
      <x:c r="H33" s="10" t="n">
        <x:f>STDEV('Medições'!H89,'Medições'!H92,'Medições'!H93)</x:f>
        <x:v>0.00041380925960318157</x:v>
      </x:c>
      <x:c r="I33" s="11" t="n">
        <x:f>COUNT('Medições'!H89,'Medições'!H92,'Medições'!H93)</x:f>
        <x:v>3</x:v>
      </x:c>
    </x:row>
    <x:row r="34" ht="22" customHeight="1">
      <x:c r="A34" s="1" t="str">
        <x:v>Bucket Sort</x:v>
      </x:c>
      <x:c r="B34" s="1" t="str">
        <x:v>melhor</x:v>
      </x:c>
      <x:c r="C34" s="9" t="n">
        <x:v>50000</x:v>
      </x:c>
      <x:c r="D34" s="10" t="n">
        <x:f>AVERAGE('Medições'!H90,'Medições'!H91,'Medições'!H94)</x:f>
        <x:v>0.0006466999999999999</x:v>
      </x:c>
      <x:c r="E34" s="10" t="n">
        <x:f>MEDIAN('Medições'!H90,'Medições'!H91,'Medições'!H94)</x:f>
        <x:v>0.0005776</x:v>
      </x:c>
      <x:c r="F34" s="10" t="n">
        <x:f>MIN('Medições'!H90,'Medições'!H91,'Medições'!H94)</x:f>
        <x:v>0.0005692</x:v>
      </x:c>
      <x:c r="G34" s="10" t="n">
        <x:f>MAX('Medições'!H90,'Medições'!H91,'Medições'!H94)</x:f>
        <x:v>0.0007933</x:v>
      </x:c>
      <x:c r="H34" s="10" t="n">
        <x:f>STDEV('Medições'!H90,'Medições'!H91,'Medições'!H94)</x:f>
        <x:v>0.00012702877626742692</x:v>
      </x:c>
      <x:c r="I34" s="11" t="n">
        <x:f>COUNT('Medições'!H90,'Medições'!H91,'Medições'!H94)</x:f>
        <x:v>3</x:v>
      </x:c>
    </x:row>
    <x:row r="35" ht="22" customHeight="1">
      <x:c r="A35" s="1" t="str">
        <x:v>Counting Sort</x:v>
      </x:c>
      <x:c r="B35" s="1" t="str">
        <x:v>melhor</x:v>
      </x:c>
      <x:c r="C35" s="9" t="n">
        <x:v>100000</x:v>
      </x:c>
      <x:c r="D35" s="10" t="n">
        <x:f>AVERAGE('Medições'!H96,'Medições'!H97,'Medições'!H100)</x:f>
        <x:v>0.0051795</x:v>
      </x:c>
      <x:c r="E35" s="10" t="n">
        <x:f>MEDIAN('Medições'!H96,'Medições'!H97,'Medições'!H100)</x:f>
        <x:v>0.0050316</x:v>
      </x:c>
      <x:c r="F35" s="10" t="n">
        <x:f>MIN('Medições'!H96,'Medições'!H97,'Medições'!H100)</x:f>
        <x:v>0.0048748</x:v>
      </x:c>
      <x:c r="G35" s="10" t="n">
        <x:f>MAX('Medições'!H96,'Medições'!H97,'Medições'!H100)</x:f>
        <x:v>0.0056321</x:v>
      </x:c>
      <x:c r="H35" s="10" t="n">
        <x:f>STDEV('Medições'!H96,'Medições'!H97,'Medições'!H100)</x:f>
        <x:v>0.00039972694430073135</x:v>
      </x:c>
      <x:c r="I35" s="11" t="n">
        <x:f>COUNT('Medições'!H96,'Medições'!H97,'Medições'!H100)</x:f>
        <x:v>3</x:v>
      </x:c>
    </x:row>
    <x:row r="36" ht="22" customHeight="1">
      <x:c r="A36" s="1" t="str">
        <x:v>Bucket Sort</x:v>
      </x:c>
      <x:c r="B36" s="1" t="str">
        <x:v>melhor</x:v>
      </x:c>
      <x:c r="C36" s="9" t="n">
        <x:v>100000</x:v>
      </x:c>
      <x:c r="D36" s="10" t="n">
        <x:f>AVERAGE('Medições'!H95,'Medições'!H98,'Medições'!H99)</x:f>
        <x:v>0.0014025333333333335</x:v>
      </x:c>
      <x:c r="E36" s="10" t="n">
        <x:f>MEDIAN('Medições'!H95,'Medições'!H98,'Medições'!H99)</x:f>
        <x:v>0.0011387</x:v>
      </x:c>
      <x:c r="F36" s="10" t="n">
        <x:f>MIN('Medições'!H95,'Medições'!H98,'Medições'!H99)</x:f>
        <x:v>0.0011378</x:v>
      </x:c>
      <x:c r="G36" s="10" t="n">
        <x:f>MAX('Medições'!H95,'Medições'!H98,'Medições'!H99)</x:f>
        <x:v>0.0019311</x:v>
      </x:c>
      <x:c r="H36" s="10" t="n">
        <x:f>STDEV('Medições'!H95,'Medições'!H98,'Medições'!H99)</x:f>
        <x:v>0.00045775238211650344</x:v>
      </x:c>
      <x:c r="I36" s="11" t="n">
        <x:f>COUNT('Medições'!H95,'Medições'!H98,'Medições'!H99)</x:f>
        <x:v>3</x:v>
      </x:c>
    </x:row>
    <x:row r="37" ht="22" customHeight="1">
      <x:c r="A37" s="1" t="str">
        <x:v>Counting Sort</x:v>
      </x:c>
      <x:c r="B37" s="1" t="str">
        <x:v>melhor</x:v>
      </x:c>
      <x:c r="C37" s="9" t="n">
        <x:v>500000</x:v>
      </x:c>
      <x:c r="D37" s="10" t="n">
        <x:f>AVERAGE('Medições'!H101,'Medições'!H104,'Medições'!H105)</x:f>
        <x:v>0.0399176</x:v>
      </x:c>
      <x:c r="E37" s="10" t="n">
        <x:f>MEDIAN('Medições'!H101,'Medições'!H104,'Medições'!H105)</x:f>
        <x:v>0.0385151</x:v>
      </x:c>
      <x:c r="F37" s="10" t="n">
        <x:f>MIN('Medições'!H101,'Medições'!H104,'Medições'!H105)</x:f>
        <x:v>0.0367248</x:v>
      </x:c>
      <x:c r="G37" s="10" t="n">
        <x:f>MAX('Medições'!H101,'Medições'!H104,'Medições'!H105)</x:f>
        <x:v>0.0445129</x:v>
      </x:c>
      <x:c r="H37" s="10" t="n">
        <x:f>STDEV('Medições'!H101,'Medições'!H104,'Medições'!H105)</x:f>
        <x:v>0.004079078338301436</x:v>
      </x:c>
      <x:c r="I37" s="11" t="n">
        <x:f>COUNT('Medições'!H101,'Medições'!H104,'Medições'!H105)</x:f>
        <x:v>3</x:v>
      </x:c>
    </x:row>
    <x:row r="38" ht="22" customHeight="1">
      <x:c r="A38" s="1" t="str">
        <x:v>Bucket Sort</x:v>
      </x:c>
      <x:c r="B38" s="1" t="str">
        <x:v>melhor</x:v>
      </x:c>
      <x:c r="C38" s="9" t="n">
        <x:v>500000</x:v>
      </x:c>
      <x:c r="D38" s="10" t="n">
        <x:f>AVERAGE('Medições'!H102,'Medições'!H103,'Medições'!H106)</x:f>
        <x:v>0.010436366666666667</x:v>
      </x:c>
      <x:c r="E38" s="10" t="n">
        <x:f>MEDIAN('Medições'!H102,'Medições'!H103,'Medições'!H106)</x:f>
        <x:v>0.008866</x:v>
      </x:c>
      <x:c r="F38" s="10" t="n">
        <x:f>MIN('Medições'!H102,'Medições'!H103,'Medições'!H106)</x:f>
        <x:v>0.0084763</x:v>
      </x:c>
      <x:c r="G38" s="10" t="n">
        <x:f>MAX('Medições'!H102,'Medições'!H103,'Medições'!H106)</x:f>
        <x:v>0.0139668</x:v>
      </x:c>
      <x:c r="H38" s="10" t="n">
        <x:f>STDEV('Medições'!H102,'Medições'!H103,'Medições'!H106)</x:f>
        <x:v>0.00306364752596204</x:v>
      </x:c>
      <x:c r="I38" s="11" t="n">
        <x:f>COUNT('Medições'!H102,'Medições'!H103,'Medições'!H106)</x:f>
        <x:v>3</x:v>
      </x:c>
    </x:row>
    <x:row r="39" ht="22" customHeight="1">
      <x:c r="A39" s="1" t="str">
        <x:v>Counting Sort</x:v>
      </x:c>
      <x:c r="B39" s="1" t="str">
        <x:v>melhor</x:v>
      </x:c>
      <x:c r="C39" s="9" t="n">
        <x:v>1000000</x:v>
      </x:c>
      <x:c r="D39" s="10" t="n">
        <x:f>AVERAGE('Medições'!H108,'Medições'!H109,'Medições'!H112)</x:f>
        <x:v>0.0754038</x:v>
      </x:c>
      <x:c r="E39" s="10" t="n">
        <x:f>MEDIAN('Medições'!H108,'Medições'!H109,'Medições'!H112)</x:f>
        <x:v>0.0696944</x:v>
      </x:c>
      <x:c r="F39" s="10" t="n">
        <x:f>MIN('Medições'!H108,'Medições'!H109,'Medições'!H112)</x:f>
        <x:v>0.0681407</x:v>
      </x:c>
      <x:c r="G39" s="10" t="n">
        <x:f>MAX('Medições'!H108,'Medições'!H109,'Medições'!H112)</x:f>
        <x:v>0.0883763</x:v>
      </x:c>
      <x:c r="H39" s="10" t="n">
        <x:f>STDEV('Medições'!H108,'Medições'!H109,'Medições'!H112)</x:f>
        <x:v>0.011261341532428543</x:v>
      </x:c>
      <x:c r="I39" s="11" t="n">
        <x:f>COUNT('Medições'!H108,'Medições'!H109,'Medições'!H112)</x:f>
        <x:v>3</x:v>
      </x:c>
    </x:row>
    <x:row r="40" ht="22" customHeight="1">
      <x:c r="A40" s="1" t="str">
        <x:v>Bucket Sort</x:v>
      </x:c>
      <x:c r="B40" s="1" t="str">
        <x:v>melhor</x:v>
      </x:c>
      <x:c r="C40" s="9" t="n">
        <x:v>1000000</x:v>
      </x:c>
      <x:c r="D40" s="10" t="n">
        <x:f>AVERAGE('Medições'!H107,'Medições'!H110,'Medições'!H111)</x:f>
        <x:v>0.0211254</x:v>
      </x:c>
      <x:c r="E40" s="10" t="n">
        <x:f>MEDIAN('Medições'!H107,'Medições'!H110,'Medições'!H111)</x:f>
        <x:v>0.0183291</x:v>
      </x:c>
      <x:c r="F40" s="10" t="n">
        <x:f>MIN('Medições'!H107,'Medições'!H110,'Medições'!H111)</x:f>
        <x:v>0.0171782</x:v>
      </x:c>
      <x:c r="G40" s="10" t="n">
        <x:f>MAX('Medições'!H107,'Medições'!H110,'Medições'!H111)</x:f>
        <x:v>0.0278689</x:v>
      </x:c>
      <x:c r="H40" s="10" t="n">
        <x:f>STDEV('Medições'!H107,'Medições'!H110,'Medições'!H111)</x:f>
        <x:v>0.005868324879384234</x:v>
      </x:c>
      <x:c r="I40" s="11" t="n">
        <x:f>COUNT('Medições'!H107,'Medições'!H110,'Medições'!H111)</x:f>
        <x:v>3</x:v>
      </x:c>
    </x:row>
    <x:row r="41" ht="22" customHeight="1">
      <x:c r="A41" s="1" t="str">
        <x:v>Counting Sort</x:v>
      </x:c>
      <x:c r="B41" s="1" t="str">
        <x:v>pior</x:v>
      </x:c>
      <x:c r="C41" s="9" t="n">
        <x:v>10</x:v>
      </x:c>
      <x:c r="D41" s="10" t="n">
        <x:f>AVERAGE('Medições'!H113,'Medições'!H116,'Medições'!H117)</x:f>
        <x:v>0.0000461</x:v>
      </x:c>
      <x:c r="E41" s="10" t="n">
        <x:f>MEDIAN('Medições'!H113,'Medições'!H116,'Medições'!H117)</x:f>
        <x:v>0.0000057</x:v>
      </x:c>
      <x:c r="F41" s="10" t="n">
        <x:f>MIN('Medições'!H113,'Medições'!H116,'Medições'!H117)</x:f>
        <x:v>0.000001</x:v>
      </x:c>
      <x:c r="G41" s="10" t="n">
        <x:f>MAX('Medições'!H113,'Medições'!H116,'Medições'!H117)</x:f>
        <x:v>0.0001316</x:v>
      </x:c>
      <x:c r="H41" s="10" t="n">
        <x:f>STDEV('Medições'!H113,'Medições'!H116,'Medições'!H117)</x:f>
        <x:v>0.00007408245406302358</x:v>
      </x:c>
      <x:c r="I41" s="11" t="n">
        <x:f>COUNT('Medições'!H113,'Medições'!H116,'Medições'!H117)</x:f>
        <x:v>3</x:v>
      </x:c>
    </x:row>
    <x:row r="42" ht="22" customHeight="1">
      <x:c r="A42" s="1" t="str">
        <x:v>Bucket Sort</x:v>
      </x:c>
      <x:c r="B42" s="1" t="str">
        <x:v>pior</x:v>
      </x:c>
      <x:c r="C42" s="9" t="n">
        <x:v>10</x:v>
      </x:c>
      <x:c r="D42" s="10" t="n">
        <x:f>AVERAGE('Medições'!H114,'Medições'!H115,'Medições'!H118)</x:f>
        <x:v>0.0000018333333333333333</x:v>
      </x:c>
      <x:c r="E42" s="10" t="n">
        <x:f>MEDIAN('Medições'!H114,'Medições'!H115,'Medições'!H118)</x:f>
        <x:v>0.0000018</x:v>
      </x:c>
      <x:c r="F42" s="10" t="n">
        <x:f>MIN('Medições'!H114,'Medições'!H115,'Medições'!H118)</x:f>
        <x:v>3e-7</x:v>
      </x:c>
      <x:c r="G42" s="10" t="n">
        <x:f>MAX('Medições'!H114,'Medições'!H115,'Medições'!H118)</x:f>
        <x:v>0.0000034</x:v>
      </x:c>
      <x:c r="H42" s="10" t="n">
        <x:f>STDEV('Medições'!H114,'Medições'!H115,'Medições'!H118)</x:f>
        <x:v>0.0000015502687938977982</x:v>
      </x:c>
      <x:c r="I42" s="11" t="n">
        <x:f>COUNT('Medições'!H114,'Medições'!H115,'Medições'!H118)</x:f>
        <x:v>3</x:v>
      </x:c>
    </x:row>
    <x:row r="43" ht="22" customHeight="1">
      <x:c r="A43" s="1" t="str">
        <x:v>Counting Sort</x:v>
      </x:c>
      <x:c r="B43" s="1" t="str">
        <x:v>pior</x:v>
      </x:c>
      <x:c r="C43" s="9" t="n">
        <x:v>100</x:v>
      </x:c>
      <x:c r="D43" s="10" t="n">
        <x:f>AVERAGE('Medições'!H120,'Medições'!H121,'Medições'!H124)</x:f>
        <x:v>0.000019166666666666667</x:v>
      </x:c>
      <x:c r="E43" s="10" t="n">
        <x:f>MEDIAN('Medições'!H120,'Medições'!H121,'Medições'!H124)</x:f>
        <x:v>0.0000132</x:v>
      </x:c>
      <x:c r="F43" s="10" t="n">
        <x:f>MIN('Medições'!H120,'Medições'!H121,'Medições'!H124)</x:f>
        <x:v>0.0000064</x:v>
      </x:c>
      <x:c r="G43" s="10" t="n">
        <x:f>MAX('Medições'!H120,'Medições'!H121,'Medições'!H124)</x:f>
        <x:v>0.0000379</x:v>
      </x:c>
      <x:c r="H43" s="10" t="n">
        <x:f>STDEV('Medições'!H120,'Medições'!H121,'Medições'!H124)</x:f>
        <x:v>0.00001657598664735627</x:v>
      </x:c>
      <x:c r="I43" s="11" t="n">
        <x:f>COUNT('Medições'!H120,'Medições'!H121,'Medições'!H124)</x:f>
        <x:v>3</x:v>
      </x:c>
    </x:row>
    <x:row r="44" ht="22" customHeight="1">
      <x:c r="A44" s="1" t="str">
        <x:v>Bucket Sort</x:v>
      </x:c>
      <x:c r="B44" s="1" t="str">
        <x:v>pior</x:v>
      </x:c>
      <x:c r="C44" s="9" t="n">
        <x:v>100</x:v>
      </x:c>
      <x:c r="D44" s="10" t="n">
        <x:f>AVERAGE('Medições'!H119,'Medições'!H122,'Medições'!H123)</x:f>
        <x:v>0.000003</x:v>
      </x:c>
      <x:c r="E44" s="10" t="n">
        <x:f>MEDIAN('Medições'!H119,'Medições'!H122,'Medições'!H123)</x:f>
        <x:v>0.000003</x:v>
      </x:c>
      <x:c r="F44" s="10" t="n">
        <x:f>MIN('Medições'!H119,'Medições'!H122,'Medições'!H123)</x:f>
        <x:v>0.0000023</x:v>
      </x:c>
      <x:c r="G44" s="10" t="n">
        <x:f>MAX('Medições'!H119,'Medições'!H122,'Medições'!H123)</x:f>
        <x:v>0.0000037</x:v>
      </x:c>
      <x:c r="H44" s="10" t="n">
        <x:f>STDEV('Medições'!H119,'Medições'!H122,'Medições'!H123)</x:f>
        <x:v>7.000000000000001e-7</x:v>
      </x:c>
      <x:c r="I44" s="11" t="n">
        <x:f>COUNT('Medições'!H119,'Medições'!H122,'Medições'!H123)</x:f>
        <x:v>3</x:v>
      </x:c>
    </x:row>
    <x:row r="45" ht="22" customHeight="1">
      <x:c r="A45" s="1" t="str">
        <x:v>Counting Sort</x:v>
      </x:c>
      <x:c r="B45" s="1" t="str">
        <x:v>pior</x:v>
      </x:c>
      <x:c r="C45" s="9" t="n">
        <x:v>1000</x:v>
      </x:c>
      <x:c r="D45" s="10" t="n">
        <x:f>AVERAGE('Medições'!H125,'Medições'!H128,'Medições'!H129)</x:f>
        <x:v>0.00008836666666666667</x:v>
      </x:c>
      <x:c r="E45" s="10" t="n">
        <x:f>MEDIAN('Medições'!H125,'Medições'!H128,'Medições'!H129)</x:f>
        <x:v>0.0001024</x:v>
      </x:c>
      <x:c r="F45" s="10" t="n">
        <x:f>MIN('Medições'!H125,'Medições'!H128,'Medições'!H129)</x:f>
        <x:v>0.0000536</x:v>
      </x:c>
      <x:c r="G45" s="10" t="n">
        <x:f>MAX('Medições'!H125,'Medições'!H128,'Medições'!H129)</x:f>
        <x:v>0.0001091</x:v>
      </x:c>
      <x:c r="H45" s="10" t="n">
        <x:f>STDEV('Medições'!H125,'Medições'!H128,'Medições'!H129)</x:f>
        <x:v>0.00003029460898135728</x:v>
      </x:c>
      <x:c r="I45" s="11" t="n">
        <x:f>COUNT('Medições'!H125,'Medições'!H128,'Medições'!H129)</x:f>
        <x:v>3</x:v>
      </x:c>
    </x:row>
    <x:row r="46" ht="22" customHeight="1">
      <x:c r="A46" s="1" t="str">
        <x:v>Bucket Sort</x:v>
      </x:c>
      <x:c r="B46" s="1" t="str">
        <x:v>pior</x:v>
      </x:c>
      <x:c r="C46" s="9" t="n">
        <x:v>1000</x:v>
      </x:c>
      <x:c r="D46" s="10" t="n">
        <x:f>AVERAGE('Medições'!H126,'Medições'!H127,'Medições'!H130)</x:f>
        <x:v>0.00012793333333333334</x:v>
      </x:c>
      <x:c r="E46" s="10" t="n">
        <x:f>MEDIAN('Medições'!H126,'Medições'!H127,'Medições'!H130)</x:f>
        <x:v>0.0001202</x:v>
      </x:c>
      <x:c r="F46" s="10" t="n">
        <x:f>MIN('Medições'!H126,'Medições'!H127,'Medições'!H130)</x:f>
        <x:v>0.0001076</x:v>
      </x:c>
      <x:c r="G46" s="10" t="n">
        <x:f>MAX('Medições'!H126,'Medições'!H127,'Medições'!H130)</x:f>
        <x:v>0.000156</x:v>
      </x:c>
      <x:c r="H46" s="10" t="n">
        <x:f>STDEV('Medições'!H126,'Medições'!H127,'Medições'!H130)</x:f>
        <x:v>0.000025109626308118035</x:v>
      </x:c>
      <x:c r="I46" s="11" t="n">
        <x:f>COUNT('Medições'!H126,'Medições'!H127,'Medições'!H130)</x:f>
        <x:v>3</x:v>
      </x:c>
    </x:row>
    <x:row r="47" ht="22" customHeight="1">
      <x:c r="A47" s="1" t="str">
        <x:v>Counting Sort</x:v>
      </x:c>
      <x:c r="B47" s="1" t="str">
        <x:v>pior</x:v>
      </x:c>
      <x:c r="C47" s="9" t="n">
        <x:v>5000</x:v>
      </x:c>
      <x:c r="D47" s="10" t="n">
        <x:f>AVERAGE('Medições'!H132,'Medições'!H133,'Medições'!H136)</x:f>
        <x:v>0.00009003333333333333</x:v>
      </x:c>
      <x:c r="E47" s="10" t="n">
        <x:f>MEDIAN('Medições'!H132,'Medições'!H133,'Medições'!H136)</x:f>
        <x:v>0.0001174</x:v>
      </x:c>
      <x:c r="F47" s="10" t="n">
        <x:f>MIN('Medições'!H132,'Medições'!H133,'Medições'!H136)</x:f>
        <x:v>0.0000315</x:v>
      </x:c>
      <x:c r="G47" s="10" t="n">
        <x:f>MAX('Medições'!H132,'Medições'!H133,'Medições'!H136)</x:f>
        <x:v>0.0001212</x:v>
      </x:c>
      <x:c r="H47" s="10" t="n">
        <x:f>STDEV('Medições'!H132,'Medições'!H133,'Medições'!H136)</x:f>
        <x:v>0.0000507269487879306</x:v>
      </x:c>
      <x:c r="I47" s="11" t="n">
        <x:f>COUNT('Medições'!H132,'Medições'!H133,'Medições'!H136)</x:f>
        <x:v>3</x:v>
      </x:c>
    </x:row>
    <x:row r="48" ht="22" customHeight="1">
      <x:c r="A48" s="1" t="str">
        <x:v>Bucket Sort</x:v>
      </x:c>
      <x:c r="B48" s="1" t="str">
        <x:v>pior</x:v>
      </x:c>
      <x:c r="C48" s="9" t="n">
        <x:v>5000</x:v>
      </x:c>
      <x:c r="D48" s="10" t="n">
        <x:f>AVERAGE('Medições'!H131,'Medições'!H134,'Medições'!H135)</x:f>
        <x:v>0.0020396666666666666</x:v>
      </x:c>
      <x:c r="E48" s="10" t="n">
        <x:f>MEDIAN('Medições'!H131,'Medições'!H134,'Medições'!H135)</x:f>
        <x:v>0.0020247</x:v>
      </x:c>
      <x:c r="F48" s="10" t="n">
        <x:f>MIN('Medições'!H131,'Medições'!H134,'Medições'!H135)</x:f>
        <x:v>0.0020115</x:v>
      </x:c>
      <x:c r="G48" s="10" t="n">
        <x:f>MAX('Medições'!H131,'Medições'!H134,'Medições'!H135)</x:f>
        <x:v>0.0020828</x:v>
      </x:c>
      <x:c r="H48" s="10" t="n">
        <x:f>STDEV('Medições'!H131,'Medições'!H134,'Medições'!H135)</x:f>
        <x:v>0.0000379331429403542</x:v>
      </x:c>
      <x:c r="I48" s="11" t="n">
        <x:f>COUNT('Medições'!H131,'Medições'!H134,'Medições'!H135)</x:f>
        <x:v>3</x:v>
      </x:c>
    </x:row>
    <x:row r="49" ht="22" customHeight="1">
      <x:c r="A49" s="1" t="str">
        <x:v>Counting Sort</x:v>
      </x:c>
      <x:c r="B49" s="1" t="str">
        <x:v>pior</x:v>
      </x:c>
      <x:c r="C49" s="9" t="n">
        <x:v>10000</x:v>
      </x:c>
      <x:c r="D49" s="10" t="n">
        <x:f>AVERAGE('Medições'!H137,'Medições'!H140,'Medições'!H141)</x:f>
        <x:v>0.0002059</x:v>
      </x:c>
      <x:c r="E49" s="10" t="n">
        <x:f>MEDIAN('Medições'!H137,'Medições'!H140,'Medições'!H141)</x:f>
        <x:v>0.0002496</x:v>
      </x:c>
      <x:c r="F49" s="10" t="n">
        <x:f>MIN('Medições'!H137,'Medições'!H140,'Medições'!H141)</x:f>
        <x:v>0.0000785</x:v>
      </x:c>
      <x:c r="G49" s="10" t="n">
        <x:f>MAX('Medições'!H137,'Medições'!H140,'Medições'!H141)</x:f>
        <x:v>0.0002896</x:v>
      </x:c>
      <x:c r="H49" s="10" t="n">
        <x:f>STDEV('Medições'!H137,'Medições'!H140,'Medições'!H141)</x:f>
        <x:v>0.00011212970168514675</x:v>
      </x:c>
      <x:c r="I49" s="11" t="n">
        <x:f>COUNT('Medições'!H137,'Medições'!H140,'Medições'!H141)</x:f>
        <x:v>3</x:v>
      </x:c>
    </x:row>
    <x:row r="50" ht="22" customHeight="1">
      <x:c r="A50" s="1" t="str">
        <x:v>Bucket Sort</x:v>
      </x:c>
      <x:c r="B50" s="1" t="str">
        <x:v>pior</x:v>
      </x:c>
      <x:c r="C50" s="9" t="n">
        <x:v>10000</x:v>
      </x:c>
      <x:c r="D50" s="10" t="n">
        <x:f>AVERAGE('Medições'!H138,'Medições'!H139,'Medições'!H142)</x:f>
        <x:v>0.007764166666666667</x:v>
      </x:c>
      <x:c r="E50" s="10" t="n">
        <x:f>MEDIAN('Medições'!H138,'Medições'!H139,'Medições'!H142)</x:f>
        <x:v>0.0077647</x:v>
      </x:c>
      <x:c r="F50" s="10" t="n">
        <x:f>MIN('Medições'!H138,'Medições'!H139,'Medições'!H142)</x:f>
        <x:v>0.0077391</x:v>
      </x:c>
      <x:c r="G50" s="10" t="n">
        <x:f>MAX('Medições'!H138,'Medições'!H139,'Medições'!H142)</x:f>
        <x:v>0.0077887</x:v>
      </x:c>
      <x:c r="H50" s="10" t="n">
        <x:f>STDEV('Medições'!H138,'Medições'!H139,'Medições'!H142)</x:f>
        <x:v>0.000024804300702364943</x:v>
      </x:c>
      <x:c r="I50" s="11" t="n">
        <x:f>COUNT('Medições'!H138,'Medições'!H139,'Medições'!H142)</x:f>
        <x:v>3</x:v>
      </x:c>
    </x:row>
    <x:row r="51" ht="22" customHeight="1">
      <x:c r="A51" s="1" t="str">
        <x:v>Counting Sort</x:v>
      </x:c>
      <x:c r="B51" s="1" t="str">
        <x:v>pior</x:v>
      </x:c>
      <x:c r="C51" s="9" t="n">
        <x:v>50000</x:v>
      </x:c>
      <x:c r="D51" s="10" t="n">
        <x:f>AVERAGE('Medições'!H144,'Medições'!H145,'Medições'!H148)</x:f>
        <x:v>0.0013967666666666668</x:v>
      </x:c>
      <x:c r="E51" s="10" t="n">
        <x:f>MEDIAN('Medições'!H144,'Medições'!H145,'Medições'!H148)</x:f>
        <x:v>0.0013584</x:v>
      </x:c>
      <x:c r="F51" s="10" t="n">
        <x:f>MIN('Medições'!H144,'Medições'!H145,'Medições'!H148)</x:f>
        <x:v>0.0012755</x:v>
      </x:c>
      <x:c r="G51" s="10" t="n">
        <x:f>MAX('Medições'!H144,'Medições'!H145,'Medições'!H148)</x:f>
        <x:v>0.0015564</x:v>
      </x:c>
      <x:c r="H51" s="10" t="n">
        <x:f>STDEV('Medições'!H144,'Medições'!H145,'Medições'!H148)</x:f>
        <x:v>0.00014432672425207106</x:v>
      </x:c>
      <x:c r="I51" s="11" t="n">
        <x:f>COUNT('Medições'!H144,'Medições'!H145,'Medições'!H148)</x:f>
        <x:v>3</x:v>
      </x:c>
    </x:row>
    <x:row r="52" ht="22" customHeight="1">
      <x:c r="A52" s="1" t="str">
        <x:v>Bucket Sort</x:v>
      </x:c>
      <x:c r="B52" s="1" t="str">
        <x:v>pior</x:v>
      </x:c>
      <x:c r="C52" s="9" t="n">
        <x:v>50000</x:v>
      </x:c>
      <x:c r="D52" s="10" t="n">
        <x:f>AVERAGE('Medições'!H143,'Medições'!H146,'Medições'!H147)</x:f>
        <x:v>0.18693786666666667</x:v>
      </x:c>
      <x:c r="E52" s="10" t="n">
        <x:f>MEDIAN('Medições'!H143,'Medições'!H146,'Medições'!H147)</x:f>
        <x:v>0.18978</x:v>
      </x:c>
      <x:c r="F52" s="10" t="n">
        <x:f>MIN('Medições'!H143,'Medições'!H146,'Medições'!H147)</x:f>
        <x:v>0.1759223</x:v>
      </x:c>
      <x:c r="G52" s="10" t="n">
        <x:f>MAX('Medições'!H143,'Medições'!H146,'Medições'!H147)</x:f>
        <x:v>0.1951113</x:v>
      </x:c>
      <x:c r="H52" s="10" t="n">
        <x:f>STDEV('Medições'!H143,'Medições'!H146,'Medições'!H147)</x:f>
        <x:v>0.009905186604165174</x:v>
      </x:c>
      <x:c r="I52" s="11" t="n">
        <x:f>COUNT('Medições'!H143,'Medições'!H146,'Medições'!H147)</x:f>
        <x:v>3</x:v>
      </x:c>
    </x:row>
    <x:row r="53" ht="22" customHeight="1">
      <x:c r="A53" s="1" t="str">
        <x:v>Counting Sort</x:v>
      </x:c>
      <x:c r="B53" s="1" t="str">
        <x:v>pior</x:v>
      </x:c>
      <x:c r="C53" s="9" t="n">
        <x:v>100000</x:v>
      </x:c>
      <x:c r="D53" s="10" t="n">
        <x:f>AVERAGE('Medições'!H149,'Medições'!H152,'Medições'!H153)</x:f>
        <x:v>0.0021417999999999997</x:v>
      </x:c>
      <x:c r="E53" s="10" t="n">
        <x:f>MEDIAN('Medições'!H149,'Medições'!H152,'Medições'!H153)</x:f>
        <x:v>0.0020643</x:v>
      </x:c>
      <x:c r="F53" s="10" t="n">
        <x:f>MIN('Medições'!H149,'Medições'!H152,'Medições'!H153)</x:f>
        <x:v>0.00202</x:v>
      </x:c>
      <x:c r="G53" s="10" t="n">
        <x:f>MAX('Medições'!H149,'Medições'!H152,'Medições'!H153)</x:f>
        <x:v>0.0023411</x:v>
      </x:c>
      <x:c r="H53" s="10" t="n">
        <x:f>STDEV('Medições'!H149,'Medições'!H152,'Medições'!H153)</x:f>
        <x:v>0.00017401433848967737</x:v>
      </x:c>
      <x:c r="I53" s="11" t="n">
        <x:f>COUNT('Medições'!H149,'Medições'!H152,'Medições'!H153)</x:f>
        <x:v>3</x:v>
      </x:c>
    </x:row>
    <x:row r="54" ht="22" customHeight="1">
      <x:c r="A54" s="1" t="str">
        <x:v>Bucket Sort</x:v>
      </x:c>
      <x:c r="B54" s="1" t="str">
        <x:v>pior</x:v>
      </x:c>
      <x:c r="C54" s="9" t="n">
        <x:v>100000</x:v>
      </x:c>
      <x:c r="D54" s="10" t="n">
        <x:f>AVERAGE('Medições'!H150,'Medições'!H151,'Medições'!H154)</x:f>
        <x:v>0.7348882</x:v>
      </x:c>
      <x:c r="E54" s="10" t="n">
        <x:f>MEDIAN('Medições'!H150,'Medições'!H151,'Medições'!H154)</x:f>
        <x:v>0.7518354</x:v>
      </x:c>
      <x:c r="F54" s="10" t="n">
        <x:f>MIN('Medições'!H150,'Medições'!H151,'Medições'!H154)</x:f>
        <x:v>0.7006123</x:v>
      </x:c>
      <x:c r="G54" s="10" t="n">
        <x:f>MAX('Medições'!H150,'Medições'!H151,'Medições'!H154)</x:f>
        <x:v>0.7522169</x:v>
      </x:c>
      <x:c r="H54" s="10" t="n">
        <x:f>STDEV('Medições'!H150,'Medições'!H151,'Medições'!H154)</x:f>
        <x:v>0.029684413017103797</x:v>
      </x:c>
      <x:c r="I54" s="11" t="n">
        <x:f>COUNT('Medições'!H150,'Medições'!H151,'Medições'!H154)</x:f>
        <x:v>3</x:v>
      </x:c>
    </x:row>
    <x:row r="55" ht="22" customHeight="1">
      <x:c r="A55" s="1" t="str">
        <x:v>Counting Sort</x:v>
      </x:c>
      <x:c r="B55" s="1" t="str">
        <x:v>pior</x:v>
      </x:c>
      <x:c r="C55" s="9" t="n">
        <x:v>500000</x:v>
      </x:c>
      <x:c r="D55" s="10" t="n">
        <x:f>AVERAGE('Medições'!H156,'Medições'!H157,'Medições'!H160)</x:f>
        <x:v>0.011192099999999998</x:v>
      </x:c>
      <x:c r="E55" s="10" t="n">
        <x:f>MEDIAN('Medições'!H156,'Medições'!H157,'Medições'!H160)</x:f>
        <x:v>0.0110447</x:v>
      </x:c>
      <x:c r="F55" s="10" t="n">
        <x:f>MIN('Medições'!H156,'Medições'!H157,'Medições'!H160)</x:f>
        <x:v>0.0108805</x:v>
      </x:c>
      <x:c r="G55" s="10" t="n">
        <x:f>MAX('Medições'!H156,'Medições'!H157,'Medições'!H160)</x:f>
        <x:v>0.0116511</x:v>
      </x:c>
      <x:c r="H55" s="10" t="n">
        <x:f>STDEV('Medições'!H156,'Medições'!H157,'Medições'!H160)</x:f>
        <x:v>0.0004058955037937719</x:v>
      </x:c>
      <x:c r="I55" s="11" t="n">
        <x:f>COUNT('Medições'!H156,'Medições'!H157,'Medições'!H160)</x:f>
        <x:v>3</x:v>
      </x:c>
    </x:row>
    <x:row r="56" ht="22" customHeight="1">
      <x:c r="A56" s="1" t="str">
        <x:v>Bucket Sort</x:v>
      </x:c>
      <x:c r="B56" s="1" t="str">
        <x:v>pior</x:v>
      </x:c>
      <x:c r="C56" s="9" t="n">
        <x:v>500000</x:v>
      </x:c>
      <x:c r="D56" s="10" t="n">
        <x:f>AVERAGE('Medições'!H155,'Medições'!H158,'Medições'!H159)</x:f>
        <x:v>17.560466</x:v>
      </x:c>
      <x:c r="E56" s="10" t="n">
        <x:f>MEDIAN('Medições'!H155,'Medições'!H158,'Medições'!H159)</x:f>
        <x:v>17.5066965</x:v>
      </x:c>
      <x:c r="F56" s="10" t="n">
        <x:f>MIN('Medições'!H155,'Medições'!H158,'Medições'!H159)</x:f>
        <x:v>17.4878089</x:v>
      </x:c>
      <x:c r="G56" s="10" t="n">
        <x:f>MAX('Medições'!H155,'Medições'!H158,'Medições'!H159)</x:f>
        <x:v>17.6868926</x:v>
      </x:c>
      <x:c r="H56" s="10" t="n">
        <x:f>STDEV('Medições'!H155,'Medições'!H158,'Medições'!H159)</x:f>
        <x:v>0.1098951739118235</x:v>
      </x:c>
      <x:c r="I56" s="11" t="n">
        <x:f>COUNT('Medições'!H155,'Medições'!H158,'Medições'!H159)</x:f>
        <x:v>3</x:v>
      </x:c>
    </x:row>
    <x:row r="57" ht="22" customHeight="1">
      <x:c r="A57" s="1" t="str">
        <x:v>Counting Sort</x:v>
      </x:c>
      <x:c r="B57" s="1" t="str">
        <x:v>pior</x:v>
      </x:c>
      <x:c r="C57" s="9" t="n">
        <x:v>1000000</x:v>
      </x:c>
      <x:c r="D57" s="10" t="n">
        <x:f>AVERAGE('Medições'!H161,'Medições'!H164,'Medições'!H165)</x:f>
        <x:v>0.024073766666666666</x:v>
      </x:c>
      <x:c r="E57" s="10" t="n">
        <x:f>MEDIAN('Medições'!H161,'Medições'!H164,'Medições'!H165)</x:f>
        <x:v>0.0242584</x:v>
      </x:c>
      <x:c r="F57" s="10" t="n">
        <x:f>MIN('Medições'!H161,'Medições'!H164,'Medições'!H165)</x:f>
        <x:v>0.0235224</x:v>
      </x:c>
      <x:c r="G57" s="10" t="n">
        <x:f>MAX('Medições'!H161,'Medições'!H164,'Medições'!H165)</x:f>
        <x:v>0.0244405</x:v>
      </x:c>
      <x:c r="H57" s="10" t="n">
        <x:f>STDEV('Medições'!H161,'Medições'!H164,'Medições'!H165)</x:f>
        <x:v>0.0004861008160179676</x:v>
      </x:c>
      <x:c r="I57" s="11" t="n">
        <x:f>COUNT('Medições'!H161,'Medições'!H164,'Medições'!H165)</x:f>
        <x:v>3</x:v>
      </x:c>
    </x:row>
    <x:row r="58" ht="22" customHeight="1">
      <x:c r="A58" s="1" t="str">
        <x:v>Bucket Sort</x:v>
      </x:c>
      <x:c r="B58" s="1" t="str">
        <x:v>pior</x:v>
      </x:c>
      <x:c r="C58" s="9" t="n">
        <x:v>1000000</x:v>
      </x:c>
      <x:c r="D58" s="10" t="n">
        <x:f>AVERAGE('Medições'!H162,'Medições'!H163,'Medições'!H166)</x:f>
        <x:v>71.01485176666667</x:v>
      </x:c>
      <x:c r="E58" s="10" t="n">
        <x:f>MEDIAN('Medições'!H162,'Medições'!H163,'Medições'!H166)</x:f>
        <x:v>70.793208</x:v>
      </x:c>
      <x:c r="F58" s="10" t="n">
        <x:f>MIN('Medições'!H162,'Medições'!H163,'Medições'!H166)</x:f>
        <x:v>70.7627838</x:v>
      </x:c>
      <x:c r="G58" s="10" t="n">
        <x:f>MAX('Medições'!H162,'Medições'!H163,'Medições'!H166)</x:f>
        <x:v>71.4885635</x:v>
      </x:c>
      <x:c r="H58" s="10" t="n">
        <x:f>STDEV('Medições'!H162,'Medições'!H163,'Medições'!H166)</x:f>
        <x:v>0.4105283336259049</x:v>
      </x:c>
      <x:c r="I58" s="11" t="n">
        <x:f>COUNT('Medições'!H162,'Medições'!H163,'Medições'!H166)</x:f>
        <x:v>3</x:v>
      </x:c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3" hidden="0" customWidth="1"/>
    <x:col min="9" max="9" width="19" hidden="0" customWidth="1"/>
    <x:col min="10" max="10" width="27" hidden="0" customWidth="1"/>
  </x:cols>
  <x:sheetData>
    <x:row r="1">
      <x:c r="A1" s="1" t="str">
        <x:v>Fonte: comparacao_medicoes.csv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 t="str">
        <x:v>Uma execução por linha. Validação: 1 = satisfeita. Tempos medidos em C com QueryPerformanceCounter.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4" customHeight="1">
      <x:c r="A4" s="8" t="str">
        <x:v>algoritmo</x:v>
      </x:c>
      <x:c r="B4" s="8" t="str">
        <x:v>cenario</x:v>
      </x:c>
      <x:c r="C4" s="8" t="str">
        <x:v>n</x:v>
      </x:c>
      <x:c r="D4" s="8" t="str">
        <x:v>faixa</x:v>
      </x:c>
      <x:c r="E4" s="8" t="str">
        <x:v>baldes</x:v>
      </x:c>
      <x:c r="F4" s="8" t="str">
        <x:v>repeticao</x:v>
      </x:c>
      <x:c r="G4" s="8" t="str">
        <x:v>semente</x:v>
      </x:c>
      <x:c r="H4" s="8" t="str">
        <x:v>tempo_segundos</x:v>
      </x:c>
      <x:c r="I4" s="8" t="str">
        <x:v>ordenado</x:v>
      </x:c>
      <x:c r="J4" s="8" t="str">
        <x:v>permutacao_correta</x:v>
      </x:c>
    </x:row>
    <x:row r="5" ht="22" customHeight="1">
      <x:c r="A5" s="1" t="str">
        <x:v>counting_sort</x:v>
      </x:c>
      <x:c r="B5" s="1" t="str">
        <x:v>aleatorio</x:v>
      </x:c>
      <x:c r="C5" s="9" t="n">
        <x:v>10</x:v>
      </x:c>
      <x:c r="D5" s="9" t="n">
        <x:v>100</x:v>
      </x:c>
      <x:c r="E5" s="9" t="n">
        <x:v>0</x:v>
      </x:c>
      <x:c r="F5" s="9" t="n">
        <x:v>1</x:v>
      </x:c>
      <x:c r="G5" s="9" t="n">
        <x:v>20262041</x:v>
      </x:c>
      <x:c r="H5" s="10" t="n">
        <x:v>0.0000014</x:v>
      </x:c>
      <x:c r="I5" s="1" t="n">
        <x:v>1</x:v>
      </x:c>
      <x:c r="J5" s="1" t="n">
        <x:v>1</x:v>
      </x:c>
    </x:row>
    <x:row r="6" ht="22" customHeight="1">
      <x:c r="A6" s="1" t="str">
        <x:v>bucket_sort_insertion_int</x:v>
      </x:c>
      <x:c r="B6" s="1" t="str">
        <x:v>aleatorio</x:v>
      </x:c>
      <x:c r="C6" s="9" t="n">
        <x:v>10</x:v>
      </x:c>
      <x:c r="D6" s="9" t="n">
        <x:v>100</x:v>
      </x:c>
      <x:c r="E6" s="9" t="n">
        <x:v>10</x:v>
      </x:c>
      <x:c r="F6" s="9" t="n">
        <x:v>1</x:v>
      </x:c>
      <x:c r="G6" s="9" t="n">
        <x:v>20262041</x:v>
      </x:c>
      <x:c r="H6" s="10" t="n">
        <x:v>0.000004</x:v>
      </x:c>
      <x:c r="I6" s="1" t="n">
        <x:v>1</x:v>
      </x:c>
      <x:c r="J6" s="1" t="n">
        <x:v>1</x:v>
      </x:c>
    </x:row>
    <x:row r="7" ht="22" customHeight="1">
      <x:c r="A7" s="1" t="str">
        <x:v>bucket_sort_insertion_int</x:v>
      </x:c>
      <x:c r="B7" s="1" t="str">
        <x:v>aleatorio</x:v>
      </x:c>
      <x:c r="C7" s="9" t="n">
        <x:v>10</x:v>
      </x:c>
      <x:c r="D7" s="9" t="n">
        <x:v>100</x:v>
      </x:c>
      <x:c r="E7" s="9" t="n">
        <x:v>10</x:v>
      </x:c>
      <x:c r="F7" s="9" t="n">
        <x:v>2</x:v>
      </x:c>
      <x:c r="G7" s="9" t="n">
        <x:v>20263050</x:v>
      </x:c>
      <x:c r="H7" s="10" t="n">
        <x:v>7e-7</x:v>
      </x:c>
      <x:c r="I7" s="1" t="n">
        <x:v>1</x:v>
      </x:c>
      <x:c r="J7" s="1" t="n">
        <x:v>1</x:v>
      </x:c>
    </x:row>
    <x:row r="8" ht="22" customHeight="1">
      <x:c r="A8" s="1" t="str">
        <x:v>counting_sort</x:v>
      </x:c>
      <x:c r="B8" s="1" t="str">
        <x:v>aleatorio</x:v>
      </x:c>
      <x:c r="C8" s="9" t="n">
        <x:v>10</x:v>
      </x:c>
      <x:c r="D8" s="9" t="n">
        <x:v>100</x:v>
      </x:c>
      <x:c r="E8" s="9" t="n">
        <x:v>0</x:v>
      </x:c>
      <x:c r="F8" s="9" t="n">
        <x:v>2</x:v>
      </x:c>
      <x:c r="G8" s="9" t="n">
        <x:v>20263050</x:v>
      </x:c>
      <x:c r="H8" s="10" t="n">
        <x:v>0.0000011</x:v>
      </x:c>
      <x:c r="I8" s="1" t="n">
        <x:v>1</x:v>
      </x:c>
      <x:c r="J8" s="1" t="n">
        <x:v>1</x:v>
      </x:c>
    </x:row>
    <x:row r="9" ht="22" customHeight="1">
      <x:c r="A9" s="1" t="str">
        <x:v>counting_sort</x:v>
      </x:c>
      <x:c r="B9" s="1" t="str">
        <x:v>aleatorio</x:v>
      </x:c>
      <x:c r="C9" s="9" t="n">
        <x:v>10</x:v>
      </x:c>
      <x:c r="D9" s="9" t="n">
        <x:v>100</x:v>
      </x:c>
      <x:c r="E9" s="9" t="n">
        <x:v>0</x:v>
      </x:c>
      <x:c r="F9" s="9" t="n">
        <x:v>3</x:v>
      </x:c>
      <x:c r="G9" s="9" t="n">
        <x:v>20264059</x:v>
      </x:c>
      <x:c r="H9" s="10" t="n">
        <x:v>3e-7</x:v>
      </x:c>
      <x:c r="I9" s="1" t="n">
        <x:v>1</x:v>
      </x:c>
      <x:c r="J9" s="1" t="n">
        <x:v>1</x:v>
      </x:c>
    </x:row>
    <x:row r="10" ht="22" customHeight="1">
      <x:c r="A10" s="1" t="str">
        <x:v>bucket_sort_insertion_int</x:v>
      </x:c>
      <x:c r="B10" s="1" t="str">
        <x:v>aleatorio</x:v>
      </x:c>
      <x:c r="C10" s="9" t="n">
        <x:v>10</x:v>
      </x:c>
      <x:c r="D10" s="9" t="n">
        <x:v>100</x:v>
      </x:c>
      <x:c r="E10" s="9" t="n">
        <x:v>10</x:v>
      </x:c>
      <x:c r="F10" s="9" t="n">
        <x:v>3</x:v>
      </x:c>
      <x:c r="G10" s="9" t="n">
        <x:v>20264059</x:v>
      </x:c>
      <x:c r="H10" s="10" t="n">
        <x:v>5e-7</x:v>
      </x:c>
      <x:c r="I10" s="1" t="n">
        <x:v>1</x:v>
      </x:c>
      <x:c r="J10" s="1" t="n">
        <x:v>1</x:v>
      </x:c>
    </x:row>
    <x:row r="11" ht="22" customHeight="1">
      <x:c r="A11" s="1" t="str">
        <x:v>bucket_sort_insertion_int</x:v>
      </x:c>
      <x:c r="B11" s="1" t="str">
        <x:v>aleatorio</x:v>
      </x:c>
      <x:c r="C11" s="9" t="n">
        <x:v>100</x:v>
      </x:c>
      <x:c r="D11" s="9" t="n">
        <x:v>1000</x:v>
      </x:c>
      <x:c r="E11" s="9" t="n">
        <x:v>100</x:v>
      </x:c>
      <x:c r="F11" s="9" t="n">
        <x:v>1</x:v>
      </x:c>
      <x:c r="G11" s="9" t="n">
        <x:v>20262131</x:v>
      </x:c>
      <x:c r="H11" s="10" t="n">
        <x:v>0.0000035</x:v>
      </x:c>
      <x:c r="I11" s="1" t="n">
        <x:v>1</x:v>
      </x:c>
      <x:c r="J11" s="1" t="n">
        <x:v>1</x:v>
      </x:c>
    </x:row>
    <x:row r="12" ht="22" customHeight="1">
      <x:c r="A12" s="1" t="str">
        <x:v>counting_sort</x:v>
      </x:c>
      <x:c r="B12" s="1" t="str">
        <x:v>aleatorio</x:v>
      </x:c>
      <x:c r="C12" s="9" t="n">
        <x:v>100</x:v>
      </x:c>
      <x:c r="D12" s="9" t="n">
        <x:v>1000</x:v>
      </x:c>
      <x:c r="E12" s="9" t="n">
        <x:v>0</x:v>
      </x:c>
      <x:c r="F12" s="9" t="n">
        <x:v>1</x:v>
      </x:c>
      <x:c r="G12" s="9" t="n">
        <x:v>20262131</x:v>
      </x:c>
      <x:c r="H12" s="10" t="n">
        <x:v>0.0000065</x:v>
      </x:c>
      <x:c r="I12" s="1" t="n">
        <x:v>1</x:v>
      </x:c>
      <x:c r="J12" s="1" t="n">
        <x:v>1</x:v>
      </x:c>
    </x:row>
    <x:row r="13" ht="22" customHeight="1">
      <x:c r="A13" s="1" t="str">
        <x:v>counting_sort</x:v>
      </x:c>
      <x:c r="B13" s="1" t="str">
        <x:v>aleatorio</x:v>
      </x:c>
      <x:c r="C13" s="9" t="n">
        <x:v>100</x:v>
      </x:c>
      <x:c r="D13" s="9" t="n">
        <x:v>1000</x:v>
      </x:c>
      <x:c r="E13" s="9" t="n">
        <x:v>0</x:v>
      </x:c>
      <x:c r="F13" s="9" t="n">
        <x:v>2</x:v>
      </x:c>
      <x:c r="G13" s="9" t="n">
        <x:v>20263140</x:v>
      </x:c>
      <x:c r="H13" s="10" t="n">
        <x:v>0.0000182</x:v>
      </x:c>
      <x:c r="I13" s="1" t="n">
        <x:v>1</x:v>
      </x:c>
      <x:c r="J13" s="1" t="n">
        <x:v>1</x:v>
      </x:c>
    </x:row>
    <x:row r="14" ht="22" customHeight="1">
      <x:c r="A14" s="1" t="str">
        <x:v>bucket_sort_insertion_int</x:v>
      </x:c>
      <x:c r="B14" s="1" t="str">
        <x:v>aleatorio</x:v>
      </x:c>
      <x:c r="C14" s="9" t="n">
        <x:v>100</x:v>
      </x:c>
      <x:c r="D14" s="9" t="n">
        <x:v>1000</x:v>
      </x:c>
      <x:c r="E14" s="9" t="n">
        <x:v>100</x:v>
      </x:c>
      <x:c r="F14" s="9" t="n">
        <x:v>2</x:v>
      </x:c>
      <x:c r="G14" s="9" t="n">
        <x:v>20263140</x:v>
      </x:c>
      <x:c r="H14" s="10" t="n">
        <x:v>0.0000045</x:v>
      </x:c>
      <x:c r="I14" s="1" t="n">
        <x:v>1</x:v>
      </x:c>
      <x:c r="J14" s="1" t="n">
        <x:v>1</x:v>
      </x:c>
    </x:row>
    <x:row r="15" ht="22" customHeight="1">
      <x:c r="A15" s="1" t="str">
        <x:v>bucket_sort_insertion_int</x:v>
      </x:c>
      <x:c r="B15" s="1" t="str">
        <x:v>aleatorio</x:v>
      </x:c>
      <x:c r="C15" s="9" t="n">
        <x:v>100</x:v>
      </x:c>
      <x:c r="D15" s="9" t="n">
        <x:v>1000</x:v>
      </x:c>
      <x:c r="E15" s="9" t="n">
        <x:v>100</x:v>
      </x:c>
      <x:c r="F15" s="9" t="n">
        <x:v>3</x:v>
      </x:c>
      <x:c r="G15" s="9" t="n">
        <x:v>20264149</x:v>
      </x:c>
      <x:c r="H15" s="10" t="n">
        <x:v>0.0000025</x:v>
      </x:c>
      <x:c r="I15" s="1" t="n">
        <x:v>1</x:v>
      </x:c>
      <x:c r="J15" s="1" t="n">
        <x:v>1</x:v>
      </x:c>
    </x:row>
    <x:row r="16" ht="22" customHeight="1">
      <x:c r="A16" s="1" t="str">
        <x:v>counting_sort</x:v>
      </x:c>
      <x:c r="B16" s="1" t="str">
        <x:v>aleatorio</x:v>
      </x:c>
      <x:c r="C16" s="9" t="n">
        <x:v>100</x:v>
      </x:c>
      <x:c r="D16" s="9" t="n">
        <x:v>1000</x:v>
      </x:c>
      <x:c r="E16" s="9" t="n">
        <x:v>0</x:v>
      </x:c>
      <x:c r="F16" s="9" t="n">
        <x:v>3</x:v>
      </x:c>
      <x:c r="G16" s="9" t="n">
        <x:v>20264149</x:v>
      </x:c>
      <x:c r="H16" s="10" t="n">
        <x:v>0.0000044</x:v>
      </x:c>
      <x:c r="I16" s="1" t="n">
        <x:v>1</x:v>
      </x:c>
      <x:c r="J16" s="1" t="n">
        <x:v>1</x:v>
      </x:c>
    </x:row>
    <x:row r="17" ht="22" customHeight="1">
      <x:c r="A17" s="1" t="str">
        <x:v>counting_sort</x:v>
      </x:c>
      <x:c r="B17" s="1" t="str">
        <x:v>aleatorio</x:v>
      </x:c>
      <x:c r="C17" s="9" t="n">
        <x:v>1000</x:v>
      </x:c>
      <x:c r="D17" s="9" t="n">
        <x:v>10000</x:v>
      </x:c>
      <x:c r="E17" s="9" t="n">
        <x:v>0</x:v>
      </x:c>
      <x:c r="F17" s="9" t="n">
        <x:v>1</x:v>
      </x:c>
      <x:c r="G17" s="9" t="n">
        <x:v>20263031</x:v>
      </x:c>
      <x:c r="H17" s="10" t="n">
        <x:v>0.0000389</x:v>
      </x:c>
      <x:c r="I17" s="1" t="n">
        <x:v>1</x:v>
      </x:c>
      <x:c r="J17" s="1" t="n">
        <x:v>1</x:v>
      </x:c>
    </x:row>
    <x:row r="18" ht="22" customHeight="1">
      <x:c r="A18" s="1" t="str">
        <x:v>bucket_sort_insertion_int</x:v>
      </x:c>
      <x:c r="B18" s="1" t="str">
        <x:v>aleatorio</x:v>
      </x:c>
      <x:c r="C18" s="9" t="n">
        <x:v>1000</x:v>
      </x:c>
      <x:c r="D18" s="9" t="n">
        <x:v>10000</x:v>
      </x:c>
      <x:c r="E18" s="9" t="n">
        <x:v>1000</x:v>
      </x:c>
      <x:c r="F18" s="9" t="n">
        <x:v>1</x:v>
      </x:c>
      <x:c r="G18" s="9" t="n">
        <x:v>20263031</x:v>
      </x:c>
      <x:c r="H18" s="10" t="n">
        <x:v>0.0000192</x:v>
      </x:c>
      <x:c r="I18" s="1" t="n">
        <x:v>1</x:v>
      </x:c>
      <x:c r="J18" s="1" t="n">
        <x:v>1</x:v>
      </x:c>
    </x:row>
    <x:row r="19" ht="22" customHeight="1">
      <x:c r="A19" s="1" t="str">
        <x:v>bucket_sort_insertion_int</x:v>
      </x:c>
      <x:c r="B19" s="1" t="str">
        <x:v>aleatorio</x:v>
      </x:c>
      <x:c r="C19" s="9" t="n">
        <x:v>1000</x:v>
      </x:c>
      <x:c r="D19" s="9" t="n">
        <x:v>10000</x:v>
      </x:c>
      <x:c r="E19" s="9" t="n">
        <x:v>1000</x:v>
      </x:c>
      <x:c r="F19" s="9" t="n">
        <x:v>2</x:v>
      </x:c>
      <x:c r="G19" s="9" t="n">
        <x:v>20264040</x:v>
      </x:c>
      <x:c r="H19" s="10" t="n">
        <x:v>0.0000214</x:v>
      </x:c>
      <x:c r="I19" s="1" t="n">
        <x:v>1</x:v>
      </x:c>
      <x:c r="J19" s="1" t="n">
        <x:v>1</x:v>
      </x:c>
    </x:row>
    <x:row r="20" ht="22" customHeight="1">
      <x:c r="A20" s="1" t="str">
        <x:v>counting_sort</x:v>
      </x:c>
      <x:c r="B20" s="1" t="str">
        <x:v>aleatorio</x:v>
      </x:c>
      <x:c r="C20" s="9" t="n">
        <x:v>1000</x:v>
      </x:c>
      <x:c r="D20" s="9" t="n">
        <x:v>10000</x:v>
      </x:c>
      <x:c r="E20" s="9" t="n">
        <x:v>0</x:v>
      </x:c>
      <x:c r="F20" s="9" t="n">
        <x:v>2</x:v>
      </x:c>
      <x:c r="G20" s="9" t="n">
        <x:v>20264040</x:v>
      </x:c>
      <x:c r="H20" s="10" t="n">
        <x:v>0.0000389</x:v>
      </x:c>
      <x:c r="I20" s="1" t="n">
        <x:v>1</x:v>
      </x:c>
      <x:c r="J20" s="1" t="n">
        <x:v>1</x:v>
      </x:c>
    </x:row>
    <x:row r="21" ht="22" customHeight="1">
      <x:c r="A21" s="1" t="str">
        <x:v>counting_sort</x:v>
      </x:c>
      <x:c r="B21" s="1" t="str">
        <x:v>aleatorio</x:v>
      </x:c>
      <x:c r="C21" s="9" t="n">
        <x:v>1000</x:v>
      </x:c>
      <x:c r="D21" s="9" t="n">
        <x:v>10000</x:v>
      </x:c>
      <x:c r="E21" s="9" t="n">
        <x:v>0</x:v>
      </x:c>
      <x:c r="F21" s="9" t="n">
        <x:v>3</x:v>
      </x:c>
      <x:c r="G21" s="9" t="n">
        <x:v>20265049</x:v>
      </x:c>
      <x:c r="H21" s="10" t="n">
        <x:v>0.0000055</x:v>
      </x:c>
      <x:c r="I21" s="1" t="n">
        <x:v>1</x:v>
      </x:c>
      <x:c r="J21" s="1" t="n">
        <x:v>1</x:v>
      </x:c>
    </x:row>
    <x:row r="22" ht="22" customHeight="1">
      <x:c r="A22" s="1" t="str">
        <x:v>bucket_sort_insertion_int</x:v>
      </x:c>
      <x:c r="B22" s="1" t="str">
        <x:v>aleatorio</x:v>
      </x:c>
      <x:c r="C22" s="9" t="n">
        <x:v>1000</x:v>
      </x:c>
      <x:c r="D22" s="9" t="n">
        <x:v>10000</x:v>
      </x:c>
      <x:c r="E22" s="9" t="n">
        <x:v>1000</x:v>
      </x:c>
      <x:c r="F22" s="9" t="n">
        <x:v>3</x:v>
      </x:c>
      <x:c r="G22" s="9" t="n">
        <x:v>20265049</x:v>
      </x:c>
      <x:c r="H22" s="10" t="n">
        <x:v>0.0000174</x:v>
      </x:c>
      <x:c r="I22" s="1" t="n">
        <x:v>1</x:v>
      </x:c>
      <x:c r="J22" s="1" t="n">
        <x:v>1</x:v>
      </x:c>
    </x:row>
    <x:row r="23" ht="22" customHeight="1">
      <x:c r="A23" s="1" t="str">
        <x:v>bucket_sort_insertion_int</x:v>
      </x:c>
      <x:c r="B23" s="1" t="str">
        <x:v>aleatorio</x:v>
      </x:c>
      <x:c r="C23" s="9" t="n">
        <x:v>5000</x:v>
      </x:c>
      <x:c r="D23" s="9" t="n">
        <x:v>50000</x:v>
      </x:c>
      <x:c r="E23" s="9" t="n">
        <x:v>5000</x:v>
      </x:c>
      <x:c r="F23" s="9" t="n">
        <x:v>1</x:v>
      </x:c>
      <x:c r="G23" s="9" t="n">
        <x:v>20267031</x:v>
      </x:c>
      <x:c r="H23" s="10" t="n">
        <x:v>0.0000975</x:v>
      </x:c>
      <x:c r="I23" s="1" t="n">
        <x:v>1</x:v>
      </x:c>
      <x:c r="J23" s="1" t="n">
        <x:v>1</x:v>
      </x:c>
    </x:row>
    <x:row r="24" ht="22" customHeight="1">
      <x:c r="A24" s="1" t="str">
        <x:v>counting_sort</x:v>
      </x:c>
      <x:c r="B24" s="1" t="str">
        <x:v>aleatorio</x:v>
      </x:c>
      <x:c r="C24" s="9" t="n">
        <x:v>5000</x:v>
      </x:c>
      <x:c r="D24" s="9" t="n">
        <x:v>50000</x:v>
      </x:c>
      <x:c r="E24" s="9" t="n">
        <x:v>0</x:v>
      </x:c>
      <x:c r="F24" s="9" t="n">
        <x:v>1</x:v>
      </x:c>
      <x:c r="G24" s="9" t="n">
        <x:v>20267031</x:v>
      </x:c>
      <x:c r="H24" s="10" t="n">
        <x:v>0.0001573</x:v>
      </x:c>
      <x:c r="I24" s="1" t="n">
        <x:v>1</x:v>
      </x:c>
      <x:c r="J24" s="1" t="n">
        <x:v>1</x:v>
      </x:c>
    </x:row>
    <x:row r="25" ht="22" customHeight="1">
      <x:c r="A25" s="1" t="str">
        <x:v>counting_sort</x:v>
      </x:c>
      <x:c r="B25" s="1" t="str">
        <x:v>aleatorio</x:v>
      </x:c>
      <x:c r="C25" s="9" t="n">
        <x:v>5000</x:v>
      </x:c>
      <x:c r="D25" s="9" t="n">
        <x:v>50000</x:v>
      </x:c>
      <x:c r="E25" s="9" t="n">
        <x:v>0</x:v>
      </x:c>
      <x:c r="F25" s="9" t="n">
        <x:v>2</x:v>
      </x:c>
      <x:c r="G25" s="9" t="n">
        <x:v>20268040</x:v>
      </x:c>
      <x:c r="H25" s="10" t="n">
        <x:v>0.0000321</x:v>
      </x:c>
      <x:c r="I25" s="1" t="n">
        <x:v>1</x:v>
      </x:c>
      <x:c r="J25" s="1" t="n">
        <x:v>1</x:v>
      </x:c>
    </x:row>
    <x:row r="26" ht="22" customHeight="1">
      <x:c r="A26" s="1" t="str">
        <x:v>bucket_sort_insertion_int</x:v>
      </x:c>
      <x:c r="B26" s="1" t="str">
        <x:v>aleatorio</x:v>
      </x:c>
      <x:c r="C26" s="9" t="n">
        <x:v>5000</x:v>
      </x:c>
      <x:c r="D26" s="9" t="n">
        <x:v>50000</x:v>
      </x:c>
      <x:c r="E26" s="9" t="n">
        <x:v>5000</x:v>
      </x:c>
      <x:c r="F26" s="9" t="n">
        <x:v>2</x:v>
      </x:c>
      <x:c r="G26" s="9" t="n">
        <x:v>20268040</x:v>
      </x:c>
      <x:c r="H26" s="10" t="n">
        <x:v>0.000091</x:v>
      </x:c>
      <x:c r="I26" s="1" t="n">
        <x:v>1</x:v>
      </x:c>
      <x:c r="J26" s="1" t="n">
        <x:v>1</x:v>
      </x:c>
    </x:row>
    <x:row r="27" ht="22" customHeight="1">
      <x:c r="A27" s="1" t="str">
        <x:v>bucket_sort_insertion_int</x:v>
      </x:c>
      <x:c r="B27" s="1" t="str">
        <x:v>aleatorio</x:v>
      </x:c>
      <x:c r="C27" s="9" t="n">
        <x:v>5000</x:v>
      </x:c>
      <x:c r="D27" s="9" t="n">
        <x:v>50000</x:v>
      </x:c>
      <x:c r="E27" s="9" t="n">
        <x:v>5000</x:v>
      </x:c>
      <x:c r="F27" s="9" t="n">
        <x:v>3</x:v>
      </x:c>
      <x:c r="G27" s="9" t="n">
        <x:v>20269049</x:v>
      </x:c>
      <x:c r="H27" s="10" t="n">
        <x:v>0.0001017</x:v>
      </x:c>
      <x:c r="I27" s="1" t="n">
        <x:v>1</x:v>
      </x:c>
      <x:c r="J27" s="1" t="n">
        <x:v>1</x:v>
      </x:c>
    </x:row>
    <x:row r="28" ht="22" customHeight="1">
      <x:c r="A28" s="1" t="str">
        <x:v>counting_sort</x:v>
      </x:c>
      <x:c r="B28" s="1" t="str">
        <x:v>aleatorio</x:v>
      </x:c>
      <x:c r="C28" s="9" t="n">
        <x:v>5000</x:v>
      </x:c>
      <x:c r="D28" s="9" t="n">
        <x:v>50000</x:v>
      </x:c>
      <x:c r="E28" s="9" t="n">
        <x:v>0</x:v>
      </x:c>
      <x:c r="F28" s="9" t="n">
        <x:v>3</x:v>
      </x:c>
      <x:c r="G28" s="9" t="n">
        <x:v>20269049</x:v>
      </x:c>
      <x:c r="H28" s="10" t="n">
        <x:v>0.0001652</x:v>
      </x:c>
      <x:c r="I28" s="1" t="n">
        <x:v>1</x:v>
      </x:c>
      <x:c r="J28" s="1" t="n">
        <x:v>1</x:v>
      </x:c>
    </x:row>
    <x:row r="29" ht="22" customHeight="1">
      <x:c r="A29" s="1" t="str">
        <x:v>counting_sort</x:v>
      </x:c>
      <x:c r="B29" s="1" t="str">
        <x:v>aleatorio</x:v>
      </x:c>
      <x:c r="C29" s="9" t="n">
        <x:v>10000</x:v>
      </x:c>
      <x:c r="D29" s="9" t="n">
        <x:v>100000</x:v>
      </x:c>
      <x:c r="E29" s="9" t="n">
        <x:v>0</x:v>
      </x:c>
      <x:c r="F29" s="9" t="n">
        <x:v>1</x:v>
      </x:c>
      <x:c r="G29" s="9" t="n">
        <x:v>20272031</x:v>
      </x:c>
      <x:c r="H29" s="10" t="n">
        <x:v>0.0002556</x:v>
      </x:c>
      <x:c r="I29" s="1" t="n">
        <x:v>1</x:v>
      </x:c>
      <x:c r="J29" s="1" t="n">
        <x:v>1</x:v>
      </x:c>
    </x:row>
    <x:row r="30" ht="22" customHeight="1">
      <x:c r="A30" s="1" t="str">
        <x:v>bucket_sort_insertion_int</x:v>
      </x:c>
      <x:c r="B30" s="1" t="str">
        <x:v>aleatorio</x:v>
      </x:c>
      <x:c r="C30" s="9" t="n">
        <x:v>10000</x:v>
      </x:c>
      <x:c r="D30" s="9" t="n">
        <x:v>100000</x:v>
      </x:c>
      <x:c r="E30" s="9" t="n">
        <x:v>10000</x:v>
      </x:c>
      <x:c r="F30" s="9" t="n">
        <x:v>1</x:v>
      </x:c>
      <x:c r="G30" s="9" t="n">
        <x:v>20272031</x:v>
      </x:c>
      <x:c r="H30" s="10" t="n">
        <x:v>0.0002484</x:v>
      </x:c>
      <x:c r="I30" s="1" t="n">
        <x:v>1</x:v>
      </x:c>
      <x:c r="J30" s="1" t="n">
        <x:v>1</x:v>
      </x:c>
    </x:row>
    <x:row r="31" ht="22" customHeight="1">
      <x:c r="A31" s="1" t="str">
        <x:v>bucket_sort_insertion_int</x:v>
      </x:c>
      <x:c r="B31" s="1" t="str">
        <x:v>aleatorio</x:v>
      </x:c>
      <x:c r="C31" s="9" t="n">
        <x:v>10000</x:v>
      </x:c>
      <x:c r="D31" s="9" t="n">
        <x:v>100000</x:v>
      </x:c>
      <x:c r="E31" s="9" t="n">
        <x:v>10000</x:v>
      </x:c>
      <x:c r="F31" s="9" t="n">
        <x:v>2</x:v>
      </x:c>
      <x:c r="G31" s="9" t="n">
        <x:v>20273040</x:v>
      </x:c>
      <x:c r="H31" s="10" t="n">
        <x:v>0.000191</x:v>
      </x:c>
      <x:c r="I31" s="1" t="n">
        <x:v>1</x:v>
      </x:c>
      <x:c r="J31" s="1" t="n">
        <x:v>1</x:v>
      </x:c>
    </x:row>
    <x:row r="32" ht="22" customHeight="1">
      <x:c r="A32" s="1" t="str">
        <x:v>counting_sort</x:v>
      </x:c>
      <x:c r="B32" s="1" t="str">
        <x:v>aleatorio</x:v>
      </x:c>
      <x:c r="C32" s="9" t="n">
        <x:v>10000</x:v>
      </x:c>
      <x:c r="D32" s="9" t="n">
        <x:v>100000</x:v>
      </x:c>
      <x:c r="E32" s="9" t="n">
        <x:v>0</x:v>
      </x:c>
      <x:c r="F32" s="9" t="n">
        <x:v>2</x:v>
      </x:c>
      <x:c r="G32" s="9" t="n">
        <x:v>20273040</x:v>
      </x:c>
      <x:c r="H32" s="10" t="n">
        <x:v>0.0002637</x:v>
      </x:c>
      <x:c r="I32" s="1" t="n">
        <x:v>1</x:v>
      </x:c>
      <x:c r="J32" s="1" t="n">
        <x:v>1</x:v>
      </x:c>
    </x:row>
    <x:row r="33" ht="22" customHeight="1">
      <x:c r="A33" s="1" t="str">
        <x:v>counting_sort</x:v>
      </x:c>
      <x:c r="B33" s="1" t="str">
        <x:v>aleatorio</x:v>
      </x:c>
      <x:c r="C33" s="9" t="n">
        <x:v>10000</x:v>
      </x:c>
      <x:c r="D33" s="9" t="n">
        <x:v>100000</x:v>
      </x:c>
      <x:c r="E33" s="9" t="n">
        <x:v>0</x:v>
      </x:c>
      <x:c r="F33" s="9" t="n">
        <x:v>3</x:v>
      </x:c>
      <x:c r="G33" s="9" t="n">
        <x:v>20274049</x:v>
      </x:c>
      <x:c r="H33" s="10" t="n">
        <x:v>0.0000712</x:v>
      </x:c>
      <x:c r="I33" s="1" t="n">
        <x:v>1</x:v>
      </x:c>
      <x:c r="J33" s="1" t="n">
        <x:v>1</x:v>
      </x:c>
    </x:row>
    <x:row r="34" ht="22" customHeight="1">
      <x:c r="A34" s="1" t="str">
        <x:v>bucket_sort_insertion_int</x:v>
      </x:c>
      <x:c r="B34" s="1" t="str">
        <x:v>aleatorio</x:v>
      </x:c>
      <x:c r="C34" s="9" t="n">
        <x:v>10000</x:v>
      </x:c>
      <x:c r="D34" s="9" t="n">
        <x:v>100000</x:v>
      </x:c>
      <x:c r="E34" s="9" t="n">
        <x:v>10000</x:v>
      </x:c>
      <x:c r="F34" s="9" t="n">
        <x:v>3</x:v>
      </x:c>
      <x:c r="G34" s="9" t="n">
        <x:v>20274049</x:v>
      </x:c>
      <x:c r="H34" s="10" t="n">
        <x:v>0.0002819</x:v>
      </x:c>
      <x:c r="I34" s="1" t="n">
        <x:v>1</x:v>
      </x:c>
      <x:c r="J34" s="1" t="n">
        <x:v>1</x:v>
      </x:c>
    </x:row>
    <x:row r="35" ht="22" customHeight="1">
      <x:c r="A35" s="1" t="str">
        <x:v>bucket_sort_insertion_int</x:v>
      </x:c>
      <x:c r="B35" s="1" t="str">
        <x:v>aleatorio</x:v>
      </x:c>
      <x:c r="C35" s="9" t="n">
        <x:v>50000</x:v>
      </x:c>
      <x:c r="D35" s="9" t="n">
        <x:v>500000</x:v>
      </x:c>
      <x:c r="E35" s="9" t="n">
        <x:v>50000</x:v>
      </x:c>
      <x:c r="F35" s="9" t="n">
        <x:v>1</x:v>
      </x:c>
      <x:c r="G35" s="9" t="n">
        <x:v>20312031</x:v>
      </x:c>
      <x:c r="H35" s="10" t="n">
        <x:v>0.000801</x:v>
      </x:c>
      <x:c r="I35" s="1" t="n">
        <x:v>1</x:v>
      </x:c>
      <x:c r="J35" s="1" t="n">
        <x:v>1</x:v>
      </x:c>
    </x:row>
    <x:row r="36" ht="22" customHeight="1">
      <x:c r="A36" s="1" t="str">
        <x:v>counting_sort</x:v>
      </x:c>
      <x:c r="B36" s="1" t="str">
        <x:v>aleatorio</x:v>
      </x:c>
      <x:c r="C36" s="9" t="n">
        <x:v>50000</x:v>
      </x:c>
      <x:c r="D36" s="9" t="n">
        <x:v>500000</x:v>
      </x:c>
      <x:c r="E36" s="9" t="n">
        <x:v>0</x:v>
      </x:c>
      <x:c r="F36" s="9" t="n">
        <x:v>1</x:v>
      </x:c>
      <x:c r="G36" s="9" t="n">
        <x:v>20312031</x:v>
      </x:c>
      <x:c r="H36" s="10" t="n">
        <x:v>0.0022095</x:v>
      </x:c>
      <x:c r="I36" s="1" t="n">
        <x:v>1</x:v>
      </x:c>
      <x:c r="J36" s="1" t="n">
        <x:v>1</x:v>
      </x:c>
    </x:row>
    <x:row r="37" ht="22" customHeight="1">
      <x:c r="A37" s="1" t="str">
        <x:v>counting_sort</x:v>
      </x:c>
      <x:c r="B37" s="1" t="str">
        <x:v>aleatorio</x:v>
      </x:c>
      <x:c r="C37" s="9" t="n">
        <x:v>50000</x:v>
      </x:c>
      <x:c r="D37" s="9" t="n">
        <x:v>500000</x:v>
      </x:c>
      <x:c r="E37" s="9" t="n">
        <x:v>0</x:v>
      </x:c>
      <x:c r="F37" s="9" t="n">
        <x:v>2</x:v>
      </x:c>
      <x:c r="G37" s="9" t="n">
        <x:v>20313040</x:v>
      </x:c>
      <x:c r="H37" s="10" t="n">
        <x:v>0.0017176</x:v>
      </x:c>
      <x:c r="I37" s="1" t="n">
        <x:v>1</x:v>
      </x:c>
      <x:c r="J37" s="1" t="n">
        <x:v>1</x:v>
      </x:c>
    </x:row>
    <x:row r="38" ht="22" customHeight="1">
      <x:c r="A38" s="1" t="str">
        <x:v>bucket_sort_insertion_int</x:v>
      </x:c>
      <x:c r="B38" s="1" t="str">
        <x:v>aleatorio</x:v>
      </x:c>
      <x:c r="C38" s="9" t="n">
        <x:v>50000</x:v>
      </x:c>
      <x:c r="D38" s="9" t="n">
        <x:v>500000</x:v>
      </x:c>
      <x:c r="E38" s="9" t="n">
        <x:v>50000</x:v>
      </x:c>
      <x:c r="F38" s="9" t="n">
        <x:v>2</x:v>
      </x:c>
      <x:c r="G38" s="9" t="n">
        <x:v>20313040</x:v>
      </x:c>
      <x:c r="H38" s="10" t="n">
        <x:v>0.0007704</x:v>
      </x:c>
      <x:c r="I38" s="1" t="n">
        <x:v>1</x:v>
      </x:c>
      <x:c r="J38" s="1" t="n">
        <x:v>1</x:v>
      </x:c>
    </x:row>
    <x:row r="39" ht="22" customHeight="1">
      <x:c r="A39" s="1" t="str">
        <x:v>bucket_sort_insertion_int</x:v>
      </x:c>
      <x:c r="B39" s="1" t="str">
        <x:v>aleatorio</x:v>
      </x:c>
      <x:c r="C39" s="9" t="n">
        <x:v>50000</x:v>
      </x:c>
      <x:c r="D39" s="9" t="n">
        <x:v>500000</x:v>
      </x:c>
      <x:c r="E39" s="9" t="n">
        <x:v>50000</x:v>
      </x:c>
      <x:c r="F39" s="9" t="n">
        <x:v>3</x:v>
      </x:c>
      <x:c r="G39" s="9" t="n">
        <x:v>20314049</x:v>
      </x:c>
      <x:c r="H39" s="10" t="n">
        <x:v>0.0006844</x:v>
      </x:c>
      <x:c r="I39" s="1" t="n">
        <x:v>1</x:v>
      </x:c>
      <x:c r="J39" s="1" t="n">
        <x:v>1</x:v>
      </x:c>
    </x:row>
    <x:row r="40" ht="22" customHeight="1">
      <x:c r="A40" s="1" t="str">
        <x:v>counting_sort</x:v>
      </x:c>
      <x:c r="B40" s="1" t="str">
        <x:v>aleatorio</x:v>
      </x:c>
      <x:c r="C40" s="9" t="n">
        <x:v>50000</x:v>
      </x:c>
      <x:c r="D40" s="9" t="n">
        <x:v>500000</x:v>
      </x:c>
      <x:c r="E40" s="9" t="n">
        <x:v>0</x:v>
      </x:c>
      <x:c r="F40" s="9" t="n">
        <x:v>3</x:v>
      </x:c>
      <x:c r="G40" s="9" t="n">
        <x:v>20314049</x:v>
      </x:c>
      <x:c r="H40" s="10" t="n">
        <x:v>0.0019198</x:v>
      </x:c>
      <x:c r="I40" s="1" t="n">
        <x:v>1</x:v>
      </x:c>
      <x:c r="J40" s="1" t="n">
        <x:v>1</x:v>
      </x:c>
    </x:row>
    <x:row r="41" ht="22" customHeight="1">
      <x:c r="A41" s="1" t="str">
        <x:v>counting_sort</x:v>
      </x:c>
      <x:c r="B41" s="1" t="str">
        <x:v>aleatorio</x:v>
      </x:c>
      <x:c r="C41" s="9" t="n">
        <x:v>100000</x:v>
      </x:c>
      <x:c r="D41" s="9" t="n">
        <x:v>1000000</x:v>
      </x:c>
      <x:c r="E41" s="9" t="n">
        <x:v>0</x:v>
      </x:c>
      <x:c r="F41" s="9" t="n">
        <x:v>1</x:v>
      </x:c>
      <x:c r="G41" s="9" t="n">
        <x:v>20362031</x:v>
      </x:c>
      <x:c r="H41" s="10" t="n">
        <x:v>0.0040522</x:v>
      </x:c>
      <x:c r="I41" s="1" t="n">
        <x:v>1</x:v>
      </x:c>
      <x:c r="J41" s="1" t="n">
        <x:v>1</x:v>
      </x:c>
    </x:row>
    <x:row r="42" ht="22" customHeight="1">
      <x:c r="A42" s="1" t="str">
        <x:v>bucket_sort_insertion_int</x:v>
      </x:c>
      <x:c r="B42" s="1" t="str">
        <x:v>aleatorio</x:v>
      </x:c>
      <x:c r="C42" s="9" t="n">
        <x:v>100000</x:v>
      </x:c>
      <x:c r="D42" s="9" t="n">
        <x:v>1000000</x:v>
      </x:c>
      <x:c r="E42" s="9" t="n">
        <x:v>100000</x:v>
      </x:c>
      <x:c r="F42" s="9" t="n">
        <x:v>1</x:v>
      </x:c>
      <x:c r="G42" s="9" t="n">
        <x:v>20362031</x:v>
      </x:c>
      <x:c r="H42" s="10" t="n">
        <x:v>0.0017423</x:v>
      </x:c>
      <x:c r="I42" s="1" t="n">
        <x:v>1</x:v>
      </x:c>
      <x:c r="J42" s="1" t="n">
        <x:v>1</x:v>
      </x:c>
    </x:row>
    <x:row r="43" ht="22" customHeight="1">
      <x:c r="A43" s="1" t="str">
        <x:v>bucket_sort_insertion_int</x:v>
      </x:c>
      <x:c r="B43" s="1" t="str">
        <x:v>aleatorio</x:v>
      </x:c>
      <x:c r="C43" s="9" t="n">
        <x:v>100000</x:v>
      </x:c>
      <x:c r="D43" s="9" t="n">
        <x:v>1000000</x:v>
      </x:c>
      <x:c r="E43" s="9" t="n">
        <x:v>100000</x:v>
      </x:c>
      <x:c r="F43" s="9" t="n">
        <x:v>2</x:v>
      </x:c>
      <x:c r="G43" s="9" t="n">
        <x:v>20363040</x:v>
      </x:c>
      <x:c r="H43" s="10" t="n">
        <x:v>0.0020893</x:v>
      </x:c>
      <x:c r="I43" s="1" t="n">
        <x:v>1</x:v>
      </x:c>
      <x:c r="J43" s="1" t="n">
        <x:v>1</x:v>
      </x:c>
    </x:row>
    <x:row r="44" ht="22" customHeight="1">
      <x:c r="A44" s="1" t="str">
        <x:v>counting_sort</x:v>
      </x:c>
      <x:c r="B44" s="1" t="str">
        <x:v>aleatorio</x:v>
      </x:c>
      <x:c r="C44" s="9" t="n">
        <x:v>100000</x:v>
      </x:c>
      <x:c r="D44" s="9" t="n">
        <x:v>1000000</x:v>
      </x:c>
      <x:c r="E44" s="9" t="n">
        <x:v>0</x:v>
      </x:c>
      <x:c r="F44" s="9" t="n">
        <x:v>2</x:v>
      </x:c>
      <x:c r="G44" s="9" t="n">
        <x:v>20363040</x:v>
      </x:c>
      <x:c r="H44" s="10" t="n">
        <x:v>0.0056621</x:v>
      </x:c>
      <x:c r="I44" s="1" t="n">
        <x:v>1</x:v>
      </x:c>
      <x:c r="J44" s="1" t="n">
        <x:v>1</x:v>
      </x:c>
    </x:row>
    <x:row r="45" ht="22" customHeight="1">
      <x:c r="A45" s="1" t="str">
        <x:v>counting_sort</x:v>
      </x:c>
      <x:c r="B45" s="1" t="str">
        <x:v>aleatorio</x:v>
      </x:c>
      <x:c r="C45" s="9" t="n">
        <x:v>100000</x:v>
      </x:c>
      <x:c r="D45" s="9" t="n">
        <x:v>1000000</x:v>
      </x:c>
      <x:c r="E45" s="9" t="n">
        <x:v>0</x:v>
      </x:c>
      <x:c r="F45" s="9" t="n">
        <x:v>3</x:v>
      </x:c>
      <x:c r="G45" s="9" t="n">
        <x:v>20364049</x:v>
      </x:c>
      <x:c r="H45" s="10" t="n">
        <x:v>0.0041837</x:v>
      </x:c>
      <x:c r="I45" s="1" t="n">
        <x:v>1</x:v>
      </x:c>
      <x:c r="J45" s="1" t="n">
        <x:v>1</x:v>
      </x:c>
    </x:row>
    <x:row r="46" ht="22" customHeight="1">
      <x:c r="A46" s="1" t="str">
        <x:v>bucket_sort_insertion_int</x:v>
      </x:c>
      <x:c r="B46" s="1" t="str">
        <x:v>aleatorio</x:v>
      </x:c>
      <x:c r="C46" s="9" t="n">
        <x:v>100000</x:v>
      </x:c>
      <x:c r="D46" s="9" t="n">
        <x:v>1000000</x:v>
      </x:c>
      <x:c r="E46" s="9" t="n">
        <x:v>100000</x:v>
      </x:c>
      <x:c r="F46" s="9" t="n">
        <x:v>3</x:v>
      </x:c>
      <x:c r="G46" s="9" t="n">
        <x:v>20364049</x:v>
      </x:c>
      <x:c r="H46" s="10" t="n">
        <x:v>0.0020582</x:v>
      </x:c>
      <x:c r="I46" s="1" t="n">
        <x:v>1</x:v>
      </x:c>
      <x:c r="J46" s="1" t="n">
        <x:v>1</x:v>
      </x:c>
    </x:row>
    <x:row r="47" ht="22" customHeight="1">
      <x:c r="A47" s="1" t="str">
        <x:v>bucket_sort_insertion_int</x:v>
      </x:c>
      <x:c r="B47" s="1" t="str">
        <x:v>aleatorio</x:v>
      </x:c>
      <x:c r="C47" s="9" t="n">
        <x:v>500000</x:v>
      </x:c>
      <x:c r="D47" s="9" t="n">
        <x:v>5000000</x:v>
      </x:c>
      <x:c r="E47" s="9" t="n">
        <x:v>500000</x:v>
      </x:c>
      <x:c r="F47" s="9" t="n">
        <x:v>1</x:v>
      </x:c>
      <x:c r="G47" s="9" t="n">
        <x:v>20762031</x:v>
      </x:c>
      <x:c r="H47" s="10" t="n">
        <x:v>0.0222988</x:v>
      </x:c>
      <x:c r="I47" s="1" t="n">
        <x:v>1</x:v>
      </x:c>
      <x:c r="J47" s="1" t="n">
        <x:v>1</x:v>
      </x:c>
    </x:row>
    <x:row r="48" ht="22" customHeight="1">
      <x:c r="A48" s="1" t="str">
        <x:v>counting_sort</x:v>
      </x:c>
      <x:c r="B48" s="1" t="str">
        <x:v>aleatorio</x:v>
      </x:c>
      <x:c r="C48" s="9" t="n">
        <x:v>500000</x:v>
      </x:c>
      <x:c r="D48" s="9" t="n">
        <x:v>5000000</x:v>
      </x:c>
      <x:c r="E48" s="9" t="n">
        <x:v>0</x:v>
      </x:c>
      <x:c r="F48" s="9" t="n">
        <x:v>1</x:v>
      </x:c>
      <x:c r="G48" s="9" t="n">
        <x:v>20762031</x:v>
      </x:c>
      <x:c r="H48" s="10" t="n">
        <x:v>0.0688086</x:v>
      </x:c>
      <x:c r="I48" s="1" t="n">
        <x:v>1</x:v>
      </x:c>
      <x:c r="J48" s="1" t="n">
        <x:v>1</x:v>
      </x:c>
    </x:row>
    <x:row r="49" ht="22" customHeight="1">
      <x:c r="A49" s="1" t="str">
        <x:v>counting_sort</x:v>
      </x:c>
      <x:c r="B49" s="1" t="str">
        <x:v>aleatorio</x:v>
      </x:c>
      <x:c r="C49" s="9" t="n">
        <x:v>500000</x:v>
      </x:c>
      <x:c r="D49" s="9" t="n">
        <x:v>5000000</x:v>
      </x:c>
      <x:c r="E49" s="9" t="n">
        <x:v>0</x:v>
      </x:c>
      <x:c r="F49" s="9" t="n">
        <x:v>2</x:v>
      </x:c>
      <x:c r="G49" s="9" t="n">
        <x:v>20763040</x:v>
      </x:c>
      <x:c r="H49" s="10" t="n">
        <x:v>0.0298859</x:v>
      </x:c>
      <x:c r="I49" s="1" t="n">
        <x:v>1</x:v>
      </x:c>
      <x:c r="J49" s="1" t="n">
        <x:v>1</x:v>
      </x:c>
    </x:row>
    <x:row r="50" ht="22" customHeight="1">
      <x:c r="A50" s="1" t="str">
        <x:v>bucket_sort_insertion_int</x:v>
      </x:c>
      <x:c r="B50" s="1" t="str">
        <x:v>aleatorio</x:v>
      </x:c>
      <x:c r="C50" s="9" t="n">
        <x:v>500000</x:v>
      </x:c>
      <x:c r="D50" s="9" t="n">
        <x:v>5000000</x:v>
      </x:c>
      <x:c r="E50" s="9" t="n">
        <x:v>500000</x:v>
      </x:c>
      <x:c r="F50" s="9" t="n">
        <x:v>2</x:v>
      </x:c>
      <x:c r="G50" s="9" t="n">
        <x:v>20763040</x:v>
      </x:c>
      <x:c r="H50" s="10" t="n">
        <x:v>0.0110999</x:v>
      </x:c>
      <x:c r="I50" s="1" t="n">
        <x:v>1</x:v>
      </x:c>
      <x:c r="J50" s="1" t="n">
        <x:v>1</x:v>
      </x:c>
    </x:row>
    <x:row r="51" ht="22" customHeight="1">
      <x:c r="A51" s="1" t="str">
        <x:v>bucket_sort_insertion_int</x:v>
      </x:c>
      <x:c r="B51" s="1" t="str">
        <x:v>aleatorio</x:v>
      </x:c>
      <x:c r="C51" s="9" t="n">
        <x:v>500000</x:v>
      </x:c>
      <x:c r="D51" s="9" t="n">
        <x:v>5000000</x:v>
      </x:c>
      <x:c r="E51" s="9" t="n">
        <x:v>500000</x:v>
      </x:c>
      <x:c r="F51" s="9" t="n">
        <x:v>3</x:v>
      </x:c>
      <x:c r="G51" s="9" t="n">
        <x:v>20764049</x:v>
      </x:c>
      <x:c r="H51" s="10" t="n">
        <x:v>0.0123072</x:v>
      </x:c>
      <x:c r="I51" s="1" t="n">
        <x:v>1</x:v>
      </x:c>
      <x:c r="J51" s="1" t="n">
        <x:v>1</x:v>
      </x:c>
    </x:row>
    <x:row r="52" ht="22" customHeight="1">
      <x:c r="A52" s="1" t="str">
        <x:v>counting_sort</x:v>
      </x:c>
      <x:c r="B52" s="1" t="str">
        <x:v>aleatorio</x:v>
      </x:c>
      <x:c r="C52" s="9" t="n">
        <x:v>500000</x:v>
      </x:c>
      <x:c r="D52" s="9" t="n">
        <x:v>5000000</x:v>
      </x:c>
      <x:c r="E52" s="9" t="n">
        <x:v>0</x:v>
      </x:c>
      <x:c r="F52" s="9" t="n">
        <x:v>3</x:v>
      </x:c>
      <x:c r="G52" s="9" t="n">
        <x:v>20764049</x:v>
      </x:c>
      <x:c r="H52" s="10" t="n">
        <x:v>0.0339077</x:v>
      </x:c>
      <x:c r="I52" s="1" t="n">
        <x:v>1</x:v>
      </x:c>
      <x:c r="J52" s="1" t="n">
        <x:v>1</x:v>
      </x:c>
    </x:row>
    <x:row r="53" ht="22" customHeight="1">
      <x:c r="A53" s="1" t="str">
        <x:v>counting_sort</x:v>
      </x:c>
      <x:c r="B53" s="1" t="str">
        <x:v>aleatorio</x:v>
      </x:c>
      <x:c r="C53" s="9" t="n">
        <x:v>1000000</x:v>
      </x:c>
      <x:c r="D53" s="9" t="n">
        <x:v>10000000</x:v>
      </x:c>
      <x:c r="E53" s="9" t="n">
        <x:v>0</x:v>
      </x:c>
      <x:c r="F53" s="9" t="n">
        <x:v>1</x:v>
      </x:c>
      <x:c r="G53" s="9" t="n">
        <x:v>21262031</x:v>
      </x:c>
      <x:c r="H53" s="10" t="n">
        <x:v>0.0596804</x:v>
      </x:c>
      <x:c r="I53" s="1" t="n">
        <x:v>1</x:v>
      </x:c>
      <x:c r="J53" s="1" t="n">
        <x:v>1</x:v>
      </x:c>
    </x:row>
    <x:row r="54" ht="22" customHeight="1">
      <x:c r="A54" s="1" t="str">
        <x:v>bucket_sort_insertion_int</x:v>
      </x:c>
      <x:c r="B54" s="1" t="str">
        <x:v>aleatorio</x:v>
      </x:c>
      <x:c r="C54" s="9" t="n">
        <x:v>1000000</x:v>
      </x:c>
      <x:c r="D54" s="9" t="n">
        <x:v>10000000</x:v>
      </x:c>
      <x:c r="E54" s="9" t="n">
        <x:v>1000000</x:v>
      </x:c>
      <x:c r="F54" s="9" t="n">
        <x:v>1</x:v>
      </x:c>
      <x:c r="G54" s="9" t="n">
        <x:v>21262031</x:v>
      </x:c>
      <x:c r="H54" s="10" t="n">
        <x:v>0.0249152</x:v>
      </x:c>
      <x:c r="I54" s="1" t="n">
        <x:v>1</x:v>
      </x:c>
      <x:c r="J54" s="1" t="n">
        <x:v>1</x:v>
      </x:c>
    </x:row>
    <x:row r="55" ht="22" customHeight="1">
      <x:c r="A55" s="1" t="str">
        <x:v>bucket_sort_insertion_int</x:v>
      </x:c>
      <x:c r="B55" s="1" t="str">
        <x:v>aleatorio</x:v>
      </x:c>
      <x:c r="C55" s="9" t="n">
        <x:v>1000000</x:v>
      </x:c>
      <x:c r="D55" s="9" t="n">
        <x:v>10000000</x:v>
      </x:c>
      <x:c r="E55" s="9" t="n">
        <x:v>1000000</x:v>
      </x:c>
      <x:c r="F55" s="9" t="n">
        <x:v>2</x:v>
      </x:c>
      <x:c r="G55" s="9" t="n">
        <x:v>21263040</x:v>
      </x:c>
      <x:c r="H55" s="10" t="n">
        <x:v>0.0220268</x:v>
      </x:c>
      <x:c r="I55" s="1" t="n">
        <x:v>1</x:v>
      </x:c>
      <x:c r="J55" s="1" t="n">
        <x:v>1</x:v>
      </x:c>
    </x:row>
    <x:row r="56" ht="22" customHeight="1">
      <x:c r="A56" s="1" t="str">
        <x:v>counting_sort</x:v>
      </x:c>
      <x:c r="B56" s="1" t="str">
        <x:v>aleatorio</x:v>
      </x:c>
      <x:c r="C56" s="9" t="n">
        <x:v>1000000</x:v>
      </x:c>
      <x:c r="D56" s="9" t="n">
        <x:v>10000000</x:v>
      </x:c>
      <x:c r="E56" s="9" t="n">
        <x:v>0</x:v>
      </x:c>
      <x:c r="F56" s="9" t="n">
        <x:v>2</x:v>
      </x:c>
      <x:c r="G56" s="9" t="n">
        <x:v>21263040</x:v>
      </x:c>
      <x:c r="H56" s="10" t="n">
        <x:v>0.0726528</x:v>
      </x:c>
      <x:c r="I56" s="1" t="n">
        <x:v>1</x:v>
      </x:c>
      <x:c r="J56" s="1" t="n">
        <x:v>1</x:v>
      </x:c>
    </x:row>
    <x:row r="57" ht="22" customHeight="1">
      <x:c r="A57" s="1" t="str">
        <x:v>counting_sort</x:v>
      </x:c>
      <x:c r="B57" s="1" t="str">
        <x:v>aleatorio</x:v>
      </x:c>
      <x:c r="C57" s="9" t="n">
        <x:v>1000000</x:v>
      </x:c>
      <x:c r="D57" s="9" t="n">
        <x:v>10000000</x:v>
      </x:c>
      <x:c r="E57" s="9" t="n">
        <x:v>0</x:v>
      </x:c>
      <x:c r="F57" s="9" t="n">
        <x:v>3</x:v>
      </x:c>
      <x:c r="G57" s="9" t="n">
        <x:v>21264049</x:v>
      </x:c>
      <x:c r="H57" s="10" t="n">
        <x:v>0.0689743</x:v>
      </x:c>
      <x:c r="I57" s="1" t="n">
        <x:v>1</x:v>
      </x:c>
      <x:c r="J57" s="1" t="n">
        <x:v>1</x:v>
      </x:c>
    </x:row>
    <x:row r="58" ht="22" customHeight="1">
      <x:c r="A58" s="1" t="str">
        <x:v>bucket_sort_insertion_int</x:v>
      </x:c>
      <x:c r="B58" s="1" t="str">
        <x:v>aleatorio</x:v>
      </x:c>
      <x:c r="C58" s="9" t="n">
        <x:v>1000000</x:v>
      </x:c>
      <x:c r="D58" s="9" t="n">
        <x:v>10000000</x:v>
      </x:c>
      <x:c r="E58" s="9" t="n">
        <x:v>1000000</x:v>
      </x:c>
      <x:c r="F58" s="9" t="n">
        <x:v>3</x:v>
      </x:c>
      <x:c r="G58" s="9" t="n">
        <x:v>21264049</x:v>
      </x:c>
      <x:c r="H58" s="10" t="n">
        <x:v>0.0226294</x:v>
      </x:c>
      <x:c r="I58" s="1" t="n">
        <x:v>1</x:v>
      </x:c>
      <x:c r="J58" s="1" t="n">
        <x:v>1</x:v>
      </x:c>
    </x:row>
    <x:row r="59" ht="22" customHeight="1">
      <x:c r="A59" s="1" t="str">
        <x:v>bucket_sort_insertion_int</x:v>
      </x:c>
      <x:c r="B59" s="1" t="str">
        <x:v>melhor</x:v>
      </x:c>
      <x:c r="C59" s="9" t="n">
        <x:v>10</x:v>
      </x:c>
      <x:c r="D59" s="9" t="n">
        <x:v>100</x:v>
      </x:c>
      <x:c r="E59" s="9" t="n">
        <x:v>10</x:v>
      </x:c>
      <x:c r="F59" s="9" t="n">
        <x:v>1</x:v>
      </x:c>
      <x:c r="G59" s="9" t="n">
        <x:v>30262060</x:v>
      </x:c>
      <x:c r="H59" s="10" t="n">
        <x:v>0.0000011</x:v>
      </x:c>
      <x:c r="I59" s="1" t="n">
        <x:v>1</x:v>
      </x:c>
      <x:c r="J59" s="1" t="n">
        <x:v>1</x:v>
      </x:c>
    </x:row>
    <x:row r="60" ht="22" customHeight="1">
      <x:c r="A60" s="1" t="str">
        <x:v>counting_sort</x:v>
      </x:c>
      <x:c r="B60" s="1" t="str">
        <x:v>melhor</x:v>
      </x:c>
      <x:c r="C60" s="9" t="n">
        <x:v>10</x:v>
      </x:c>
      <x:c r="D60" s="9" t="n">
        <x:v>100</x:v>
      </x:c>
      <x:c r="E60" s="9" t="n">
        <x:v>0</x:v>
      </x:c>
      <x:c r="F60" s="9" t="n">
        <x:v>1</x:v>
      </x:c>
      <x:c r="G60" s="9" t="n">
        <x:v>30262060</x:v>
      </x:c>
      <x:c r="H60" s="10" t="n">
        <x:v>0.0001553</x:v>
      </x:c>
      <x:c r="I60" s="1" t="n">
        <x:v>1</x:v>
      </x:c>
      <x:c r="J60" s="1" t="n">
        <x:v>1</x:v>
      </x:c>
    </x:row>
    <x:row r="61" ht="22" customHeight="1">
      <x:c r="A61" s="1" t="str">
        <x:v>counting_sort</x:v>
      </x:c>
      <x:c r="B61" s="1" t="str">
        <x:v>melhor</x:v>
      </x:c>
      <x:c r="C61" s="9" t="n">
        <x:v>10</x:v>
      </x:c>
      <x:c r="D61" s="9" t="n">
        <x:v>100</x:v>
      </x:c>
      <x:c r="E61" s="9" t="n">
        <x:v>0</x:v>
      </x:c>
      <x:c r="F61" s="9" t="n">
        <x:v>2</x:v>
      </x:c>
      <x:c r="G61" s="9" t="n">
        <x:v>30263069</x:v>
      </x:c>
      <x:c r="H61" s="10" t="n">
        <x:v>0.0000037</x:v>
      </x:c>
      <x:c r="I61" s="1" t="n">
        <x:v>1</x:v>
      </x:c>
      <x:c r="J61" s="1" t="n">
        <x:v>1</x:v>
      </x:c>
    </x:row>
    <x:row r="62" ht="22" customHeight="1">
      <x:c r="A62" s="1" t="str">
        <x:v>bucket_sort_insertion_int</x:v>
      </x:c>
      <x:c r="B62" s="1" t="str">
        <x:v>melhor</x:v>
      </x:c>
      <x:c r="C62" s="9" t="n">
        <x:v>10</x:v>
      </x:c>
      <x:c r="D62" s="9" t="n">
        <x:v>100</x:v>
      </x:c>
      <x:c r="E62" s="9" t="n">
        <x:v>10</x:v>
      </x:c>
      <x:c r="F62" s="9" t="n">
        <x:v>2</x:v>
      </x:c>
      <x:c r="G62" s="9" t="n">
        <x:v>30263069</x:v>
      </x:c>
      <x:c r="H62" s="10" t="n">
        <x:v>4e-7</x:v>
      </x:c>
      <x:c r="I62" s="1" t="n">
        <x:v>1</x:v>
      </x:c>
      <x:c r="J62" s="1" t="n">
        <x:v>1</x:v>
      </x:c>
    </x:row>
    <x:row r="63" ht="22" customHeight="1">
      <x:c r="A63" s="1" t="str">
        <x:v>bucket_sort_insertion_int</x:v>
      </x:c>
      <x:c r="B63" s="1" t="str">
        <x:v>melhor</x:v>
      </x:c>
      <x:c r="C63" s="9" t="n">
        <x:v>10</x:v>
      </x:c>
      <x:c r="D63" s="9" t="n">
        <x:v>100</x:v>
      </x:c>
      <x:c r="E63" s="9" t="n">
        <x:v>10</x:v>
      </x:c>
      <x:c r="F63" s="9" t="n">
        <x:v>3</x:v>
      </x:c>
      <x:c r="G63" s="9" t="n">
        <x:v>30264078</x:v>
      </x:c>
      <x:c r="H63" s="10" t="n">
        <x:v>0.0000012</x:v>
      </x:c>
      <x:c r="I63" s="1" t="n">
        <x:v>1</x:v>
      </x:c>
      <x:c r="J63" s="1" t="n">
        <x:v>1</x:v>
      </x:c>
    </x:row>
    <x:row r="64" ht="22" customHeight="1">
      <x:c r="A64" s="1" t="str">
        <x:v>counting_sort</x:v>
      </x:c>
      <x:c r="B64" s="1" t="str">
        <x:v>melhor</x:v>
      </x:c>
      <x:c r="C64" s="9" t="n">
        <x:v>10</x:v>
      </x:c>
      <x:c r="D64" s="9" t="n">
        <x:v>100</x:v>
      </x:c>
      <x:c r="E64" s="9" t="n">
        <x:v>0</x:v>
      </x:c>
      <x:c r="F64" s="9" t="n">
        <x:v>3</x:v>
      </x:c>
      <x:c r="G64" s="9" t="n">
        <x:v>30264078</x:v>
      </x:c>
      <x:c r="H64" s="10" t="n">
        <x:v>0.0000011</x:v>
      </x:c>
      <x:c r="I64" s="1" t="n">
        <x:v>1</x:v>
      </x:c>
      <x:c r="J64" s="1" t="n">
        <x:v>1</x:v>
      </x:c>
    </x:row>
    <x:row r="65" ht="22" customHeight="1">
      <x:c r="A65" s="1" t="str">
        <x:v>counting_sort</x:v>
      </x:c>
      <x:c r="B65" s="1" t="str">
        <x:v>melhor</x:v>
      </x:c>
      <x:c r="C65" s="9" t="n">
        <x:v>100</x:v>
      </x:c>
      <x:c r="D65" s="9" t="n">
        <x:v>1000</x:v>
      </x:c>
      <x:c r="E65" s="9" t="n">
        <x:v>0</x:v>
      </x:c>
      <x:c r="F65" s="9" t="n">
        <x:v>1</x:v>
      </x:c>
      <x:c r="G65" s="9" t="n">
        <x:v>30262150</x:v>
      </x:c>
      <x:c r="H65" s="10" t="n">
        <x:v>0.0000111</x:v>
      </x:c>
      <x:c r="I65" s="1" t="n">
        <x:v>1</x:v>
      </x:c>
      <x:c r="J65" s="1" t="n">
        <x:v>1</x:v>
      </x:c>
    </x:row>
    <x:row r="66" ht="22" customHeight="1">
      <x:c r="A66" s="1" t="str">
        <x:v>bucket_sort_insertion_int</x:v>
      </x:c>
      <x:c r="B66" s="1" t="str">
        <x:v>melhor</x:v>
      </x:c>
      <x:c r="C66" s="9" t="n">
        <x:v>100</x:v>
      </x:c>
      <x:c r="D66" s="9" t="n">
        <x:v>1000</x:v>
      </x:c>
      <x:c r="E66" s="9" t="n">
        <x:v>100</x:v>
      </x:c>
      <x:c r="F66" s="9" t="n">
        <x:v>1</x:v>
      </x:c>
      <x:c r="G66" s="9" t="n">
        <x:v>30262150</x:v>
      </x:c>
      <x:c r="H66" s="10" t="n">
        <x:v>0.000003</x:v>
      </x:c>
      <x:c r="I66" s="1" t="n">
        <x:v>1</x:v>
      </x:c>
      <x:c r="J66" s="1" t="n">
        <x:v>1</x:v>
      </x:c>
    </x:row>
    <x:row r="67" ht="22" customHeight="1">
      <x:c r="A67" s="1" t="str">
        <x:v>bucket_sort_insertion_int</x:v>
      </x:c>
      <x:c r="B67" s="1" t="str">
        <x:v>melhor</x:v>
      </x:c>
      <x:c r="C67" s="9" t="n">
        <x:v>100</x:v>
      </x:c>
      <x:c r="D67" s="9" t="n">
        <x:v>1000</x:v>
      </x:c>
      <x:c r="E67" s="9" t="n">
        <x:v>100</x:v>
      </x:c>
      <x:c r="F67" s="9" t="n">
        <x:v>2</x:v>
      </x:c>
      <x:c r="G67" s="9" t="n">
        <x:v>30263159</x:v>
      </x:c>
      <x:c r="H67" s="10" t="n">
        <x:v>0.0000012</x:v>
      </x:c>
      <x:c r="I67" s="1" t="n">
        <x:v>1</x:v>
      </x:c>
      <x:c r="J67" s="1" t="n">
        <x:v>1</x:v>
      </x:c>
    </x:row>
    <x:row r="68" ht="22" customHeight="1">
      <x:c r="A68" s="1" t="str">
        <x:v>counting_sort</x:v>
      </x:c>
      <x:c r="B68" s="1" t="str">
        <x:v>melhor</x:v>
      </x:c>
      <x:c r="C68" s="9" t="n">
        <x:v>100</x:v>
      </x:c>
      <x:c r="D68" s="9" t="n">
        <x:v>1000</x:v>
      </x:c>
      <x:c r="E68" s="9" t="n">
        <x:v>0</x:v>
      </x:c>
      <x:c r="F68" s="9" t="n">
        <x:v>2</x:v>
      </x:c>
      <x:c r="G68" s="9" t="n">
        <x:v>30263159</x:v>
      </x:c>
      <x:c r="H68" s="10" t="n">
        <x:v>0.0000058</x:v>
      </x:c>
      <x:c r="I68" s="1" t="n">
        <x:v>1</x:v>
      </x:c>
      <x:c r="J68" s="1" t="n">
        <x:v>1</x:v>
      </x:c>
    </x:row>
    <x:row r="69" ht="22" customHeight="1">
      <x:c r="A69" s="1" t="str">
        <x:v>counting_sort</x:v>
      </x:c>
      <x:c r="B69" s="1" t="str">
        <x:v>melhor</x:v>
      </x:c>
      <x:c r="C69" s="9" t="n">
        <x:v>100</x:v>
      </x:c>
      <x:c r="D69" s="9" t="n">
        <x:v>1000</x:v>
      </x:c>
      <x:c r="E69" s="9" t="n">
        <x:v>0</x:v>
      </x:c>
      <x:c r="F69" s="9" t="n">
        <x:v>3</x:v>
      </x:c>
      <x:c r="G69" s="9" t="n">
        <x:v>30264168</x:v>
      </x:c>
      <x:c r="H69" s="10" t="n">
        <x:v>0.0000071</x:v>
      </x:c>
      <x:c r="I69" s="1" t="n">
        <x:v>1</x:v>
      </x:c>
      <x:c r="J69" s="1" t="n">
        <x:v>1</x:v>
      </x:c>
    </x:row>
    <x:row r="70" ht="22" customHeight="1">
      <x:c r="A70" s="1" t="str">
        <x:v>bucket_sort_insertion_int</x:v>
      </x:c>
      <x:c r="B70" s="1" t="str">
        <x:v>melhor</x:v>
      </x:c>
      <x:c r="C70" s="9" t="n">
        <x:v>100</x:v>
      </x:c>
      <x:c r="D70" s="9" t="n">
        <x:v>1000</x:v>
      </x:c>
      <x:c r="E70" s="9" t="n">
        <x:v>100</x:v>
      </x:c>
      <x:c r="F70" s="9" t="n">
        <x:v>3</x:v>
      </x:c>
      <x:c r="G70" s="9" t="n">
        <x:v>30264168</x:v>
      </x:c>
      <x:c r="H70" s="10" t="n">
        <x:v>0.0000021</x:v>
      </x:c>
      <x:c r="I70" s="1" t="n">
        <x:v>1</x:v>
      </x:c>
      <x:c r="J70" s="1" t="n">
        <x:v>1</x:v>
      </x:c>
    </x:row>
    <x:row r="71" ht="22" customHeight="1">
      <x:c r="A71" s="1" t="str">
        <x:v>bucket_sort_insertion_int</x:v>
      </x:c>
      <x:c r="B71" s="1" t="str">
        <x:v>melhor</x:v>
      </x:c>
      <x:c r="C71" s="9" t="n">
        <x:v>1000</x:v>
      </x:c>
      <x:c r="D71" s="9" t="n">
        <x:v>10000</x:v>
      </x:c>
      <x:c r="E71" s="9" t="n">
        <x:v>1000</x:v>
      </x:c>
      <x:c r="F71" s="9" t="n">
        <x:v>1</x:v>
      </x:c>
      <x:c r="G71" s="9" t="n">
        <x:v>30263050</x:v>
      </x:c>
      <x:c r="H71" s="10" t="n">
        <x:v>0.0000164</x:v>
      </x:c>
      <x:c r="I71" s="1" t="n">
        <x:v>1</x:v>
      </x:c>
      <x:c r="J71" s="1" t="n">
        <x:v>1</x:v>
      </x:c>
    </x:row>
    <x:row r="72" ht="22" customHeight="1">
      <x:c r="A72" s="1" t="str">
        <x:v>counting_sort</x:v>
      </x:c>
      <x:c r="B72" s="1" t="str">
        <x:v>melhor</x:v>
      </x:c>
      <x:c r="C72" s="9" t="n">
        <x:v>1000</x:v>
      </x:c>
      <x:c r="D72" s="9" t="n">
        <x:v>10000</x:v>
      </x:c>
      <x:c r="E72" s="9" t="n">
        <x:v>0</x:v>
      </x:c>
      <x:c r="F72" s="9" t="n">
        <x:v>1</x:v>
      </x:c>
      <x:c r="G72" s="9" t="n">
        <x:v>30263050</x:v>
      </x:c>
      <x:c r="H72" s="10" t="n">
        <x:v>0.0000354</x:v>
      </x:c>
      <x:c r="I72" s="1" t="n">
        <x:v>1</x:v>
      </x:c>
      <x:c r="J72" s="1" t="n">
        <x:v>1</x:v>
      </x:c>
    </x:row>
    <x:row r="73" ht="22" customHeight="1">
      <x:c r="A73" s="1" t="str">
        <x:v>counting_sort</x:v>
      </x:c>
      <x:c r="B73" s="1" t="str">
        <x:v>melhor</x:v>
      </x:c>
      <x:c r="C73" s="9" t="n">
        <x:v>1000</x:v>
      </x:c>
      <x:c r="D73" s="9" t="n">
        <x:v>10000</x:v>
      </x:c>
      <x:c r="E73" s="9" t="n">
        <x:v>0</x:v>
      </x:c>
      <x:c r="F73" s="9" t="n">
        <x:v>2</x:v>
      </x:c>
      <x:c r="G73" s="9" t="n">
        <x:v>30264059</x:v>
      </x:c>
      <x:c r="H73" s="10" t="n">
        <x:v>0.0000059</x:v>
      </x:c>
      <x:c r="I73" s="1" t="n">
        <x:v>1</x:v>
      </x:c>
      <x:c r="J73" s="1" t="n">
        <x:v>1</x:v>
      </x:c>
    </x:row>
    <x:row r="74" ht="22" customHeight="1">
      <x:c r="A74" s="1" t="str">
        <x:v>bucket_sort_insertion_int</x:v>
      </x:c>
      <x:c r="B74" s="1" t="str">
        <x:v>melhor</x:v>
      </x:c>
      <x:c r="C74" s="9" t="n">
        <x:v>1000</x:v>
      </x:c>
      <x:c r="D74" s="9" t="n">
        <x:v>10000</x:v>
      </x:c>
      <x:c r="E74" s="9" t="n">
        <x:v>1000</x:v>
      </x:c>
      <x:c r="F74" s="9" t="n">
        <x:v>2</x:v>
      </x:c>
      <x:c r="G74" s="9" t="n">
        <x:v>30264059</x:v>
      </x:c>
      <x:c r="H74" s="10" t="n">
        <x:v>0.0000134</x:v>
      </x:c>
      <x:c r="I74" s="1" t="n">
        <x:v>1</x:v>
      </x:c>
      <x:c r="J74" s="1" t="n">
        <x:v>1</x:v>
      </x:c>
    </x:row>
    <x:row r="75" ht="22" customHeight="1">
      <x:c r="A75" s="1" t="str">
        <x:v>bucket_sort_insertion_int</x:v>
      </x:c>
      <x:c r="B75" s="1" t="str">
        <x:v>melhor</x:v>
      </x:c>
      <x:c r="C75" s="9" t="n">
        <x:v>1000</x:v>
      </x:c>
      <x:c r="D75" s="9" t="n">
        <x:v>10000</x:v>
      </x:c>
      <x:c r="E75" s="9" t="n">
        <x:v>1000</x:v>
      </x:c>
      <x:c r="F75" s="9" t="n">
        <x:v>3</x:v>
      </x:c>
      <x:c r="G75" s="9" t="n">
        <x:v>30265068</x:v>
      </x:c>
      <x:c r="H75" s="10" t="n">
        <x:v>0.0000163</x:v>
      </x:c>
      <x:c r="I75" s="1" t="n">
        <x:v>1</x:v>
      </x:c>
      <x:c r="J75" s="1" t="n">
        <x:v>1</x:v>
      </x:c>
    </x:row>
    <x:row r="76" ht="22" customHeight="1">
      <x:c r="A76" s="1" t="str">
        <x:v>counting_sort</x:v>
      </x:c>
      <x:c r="B76" s="1" t="str">
        <x:v>melhor</x:v>
      </x:c>
      <x:c r="C76" s="9" t="n">
        <x:v>1000</x:v>
      </x:c>
      <x:c r="D76" s="9" t="n">
        <x:v>10000</x:v>
      </x:c>
      <x:c r="E76" s="9" t="n">
        <x:v>0</x:v>
      </x:c>
      <x:c r="F76" s="9" t="n">
        <x:v>3</x:v>
      </x:c>
      <x:c r="G76" s="9" t="n">
        <x:v>30265068</x:v>
      </x:c>
      <x:c r="H76" s="10" t="n">
        <x:v>0.0000361</x:v>
      </x:c>
      <x:c r="I76" s="1" t="n">
        <x:v>1</x:v>
      </x:c>
      <x:c r="J76" s="1" t="n">
        <x:v>1</x:v>
      </x:c>
    </x:row>
    <x:row r="77" ht="22" customHeight="1">
      <x:c r="A77" s="1" t="str">
        <x:v>counting_sort</x:v>
      </x:c>
      <x:c r="B77" s="1" t="str">
        <x:v>melhor</x:v>
      </x:c>
      <x:c r="C77" s="9" t="n">
        <x:v>5000</x:v>
      </x:c>
      <x:c r="D77" s="9" t="n">
        <x:v>50000</x:v>
      </x:c>
      <x:c r="E77" s="9" t="n">
        <x:v>0</x:v>
      </x:c>
      <x:c r="F77" s="9" t="n">
        <x:v>1</x:v>
      </x:c>
      <x:c r="G77" s="9" t="n">
        <x:v>30267050</x:v>
      </x:c>
      <x:c r="H77" s="10" t="n">
        <x:v>0.0001165</x:v>
      </x:c>
      <x:c r="I77" s="1" t="n">
        <x:v>1</x:v>
      </x:c>
      <x:c r="J77" s="1" t="n">
        <x:v>1</x:v>
      </x:c>
    </x:row>
    <x:row r="78" ht="22" customHeight="1">
      <x:c r="A78" s="1" t="str">
        <x:v>bucket_sort_insertion_int</x:v>
      </x:c>
      <x:c r="B78" s="1" t="str">
        <x:v>melhor</x:v>
      </x:c>
      <x:c r="C78" s="9" t="n">
        <x:v>5000</x:v>
      </x:c>
      <x:c r="D78" s="9" t="n">
        <x:v>50000</x:v>
      </x:c>
      <x:c r="E78" s="9" t="n">
        <x:v>5000</x:v>
      </x:c>
      <x:c r="F78" s="9" t="n">
        <x:v>1</x:v>
      </x:c>
      <x:c r="G78" s="9" t="n">
        <x:v>30267050</x:v>
      </x:c>
      <x:c r="H78" s="10" t="n">
        <x:v>0.0001152</x:v>
      </x:c>
      <x:c r="I78" s="1" t="n">
        <x:v>1</x:v>
      </x:c>
      <x:c r="J78" s="1" t="n">
        <x:v>1</x:v>
      </x:c>
    </x:row>
    <x:row r="79" ht="22" customHeight="1">
      <x:c r="A79" s="1" t="str">
        <x:v>bucket_sort_insertion_int</x:v>
      </x:c>
      <x:c r="B79" s="1" t="str">
        <x:v>melhor</x:v>
      </x:c>
      <x:c r="C79" s="9" t="n">
        <x:v>5000</x:v>
      </x:c>
      <x:c r="D79" s="9" t="n">
        <x:v>50000</x:v>
      </x:c>
      <x:c r="E79" s="9" t="n">
        <x:v>5000</x:v>
      </x:c>
      <x:c r="F79" s="9" t="n">
        <x:v>2</x:v>
      </x:c>
      <x:c r="G79" s="9" t="n">
        <x:v>30268059</x:v>
      </x:c>
      <x:c r="H79" s="10" t="n">
        <x:v>0.0000773</x:v>
      </x:c>
      <x:c r="I79" s="1" t="n">
        <x:v>1</x:v>
      </x:c>
      <x:c r="J79" s="1" t="n">
        <x:v>1</x:v>
      </x:c>
    </x:row>
    <x:row r="80" ht="22" customHeight="1">
      <x:c r="A80" s="1" t="str">
        <x:v>counting_sort</x:v>
      </x:c>
      <x:c r="B80" s="1" t="str">
        <x:v>melhor</x:v>
      </x:c>
      <x:c r="C80" s="9" t="n">
        <x:v>5000</x:v>
      </x:c>
      <x:c r="D80" s="9" t="n">
        <x:v>50000</x:v>
      </x:c>
      <x:c r="E80" s="9" t="n">
        <x:v>0</x:v>
      </x:c>
      <x:c r="F80" s="9" t="n">
        <x:v>2</x:v>
      </x:c>
      <x:c r="G80" s="9" t="n">
        <x:v>30268059</x:v>
      </x:c>
      <x:c r="H80" s="10" t="n">
        <x:v>0.0001334</x:v>
      </x:c>
      <x:c r="I80" s="1" t="n">
        <x:v>1</x:v>
      </x:c>
      <x:c r="J80" s="1" t="n">
        <x:v>1</x:v>
      </x:c>
    </x:row>
    <x:row r="81" ht="22" customHeight="1">
      <x:c r="A81" s="1" t="str">
        <x:v>counting_sort</x:v>
      </x:c>
      <x:c r="B81" s="1" t="str">
        <x:v>melhor</x:v>
      </x:c>
      <x:c r="C81" s="9" t="n">
        <x:v>5000</x:v>
      </x:c>
      <x:c r="D81" s="9" t="n">
        <x:v>50000</x:v>
      </x:c>
      <x:c r="E81" s="9" t="n">
        <x:v>0</x:v>
      </x:c>
      <x:c r="F81" s="9" t="n">
        <x:v>3</x:v>
      </x:c>
      <x:c r="G81" s="9" t="n">
        <x:v>30269068</x:v>
      </x:c>
      <x:c r="H81" s="10" t="n">
        <x:v>0.0000399</x:v>
      </x:c>
      <x:c r="I81" s="1" t="n">
        <x:v>1</x:v>
      </x:c>
      <x:c r="J81" s="1" t="n">
        <x:v>1</x:v>
      </x:c>
    </x:row>
    <x:row r="82" ht="22" customHeight="1">
      <x:c r="A82" s="1" t="str">
        <x:v>bucket_sort_insertion_int</x:v>
      </x:c>
      <x:c r="B82" s="1" t="str">
        <x:v>melhor</x:v>
      </x:c>
      <x:c r="C82" s="9" t="n">
        <x:v>5000</x:v>
      </x:c>
      <x:c r="D82" s="9" t="n">
        <x:v>50000</x:v>
      </x:c>
      <x:c r="E82" s="9" t="n">
        <x:v>5000</x:v>
      </x:c>
      <x:c r="F82" s="9" t="n">
        <x:v>3</x:v>
      </x:c>
      <x:c r="G82" s="9" t="n">
        <x:v>30269068</x:v>
      </x:c>
      <x:c r="H82" s="10" t="n">
        <x:v>0.0001093</x:v>
      </x:c>
      <x:c r="I82" s="1" t="n">
        <x:v>1</x:v>
      </x:c>
      <x:c r="J82" s="1" t="n">
        <x:v>1</x:v>
      </x:c>
    </x:row>
    <x:row r="83" ht="22" customHeight="1">
      <x:c r="A83" s="1" t="str">
        <x:v>bucket_sort_insertion_int</x:v>
      </x:c>
      <x:c r="B83" s="1" t="str">
        <x:v>melhor</x:v>
      </x:c>
      <x:c r="C83" s="9" t="n">
        <x:v>10000</x:v>
      </x:c>
      <x:c r="D83" s="9" t="n">
        <x:v>100000</x:v>
      </x:c>
      <x:c r="E83" s="9" t="n">
        <x:v>10000</x:v>
      </x:c>
      <x:c r="F83" s="9" t="n">
        <x:v>1</x:v>
      </x:c>
      <x:c r="G83" s="9" t="n">
        <x:v>30272050</x:v>
      </x:c>
      <x:c r="H83" s="10" t="n">
        <x:v>0.0001326</x:v>
      </x:c>
      <x:c r="I83" s="1" t="n">
        <x:v>1</x:v>
      </x:c>
      <x:c r="J83" s="1" t="n">
        <x:v>1</x:v>
      </x:c>
    </x:row>
    <x:row r="84" ht="22" customHeight="1">
      <x:c r="A84" s="1" t="str">
        <x:v>counting_sort</x:v>
      </x:c>
      <x:c r="B84" s="1" t="str">
        <x:v>melhor</x:v>
      </x:c>
      <x:c r="C84" s="9" t="n">
        <x:v>10000</x:v>
      </x:c>
      <x:c r="D84" s="9" t="n">
        <x:v>100000</x:v>
      </x:c>
      <x:c r="E84" s="9" t="n">
        <x:v>0</x:v>
      </x:c>
      <x:c r="F84" s="9" t="n">
        <x:v>1</x:v>
      </x:c>
      <x:c r="G84" s="9" t="n">
        <x:v>30272050</x:v>
      </x:c>
      <x:c r="H84" s="10" t="n">
        <x:v>0.0002758</x:v>
      </x:c>
      <x:c r="I84" s="1" t="n">
        <x:v>1</x:v>
      </x:c>
      <x:c r="J84" s="1" t="n">
        <x:v>1</x:v>
      </x:c>
    </x:row>
    <x:row r="85" ht="22" customHeight="1">
      <x:c r="A85" s="1" t="str">
        <x:v>counting_sort</x:v>
      </x:c>
      <x:c r="B85" s="1" t="str">
        <x:v>melhor</x:v>
      </x:c>
      <x:c r="C85" s="9" t="n">
        <x:v>10000</x:v>
      </x:c>
      <x:c r="D85" s="9" t="n">
        <x:v>100000</x:v>
      </x:c>
      <x:c r="E85" s="9" t="n">
        <x:v>0</x:v>
      </x:c>
      <x:c r="F85" s="9" t="n">
        <x:v>2</x:v>
      </x:c>
      <x:c r="G85" s="9" t="n">
        <x:v>30273059</x:v>
      </x:c>
      <x:c r="H85" s="10" t="n">
        <x:v>0.0000673</x:v>
      </x:c>
      <x:c r="I85" s="1" t="n">
        <x:v>1</x:v>
      </x:c>
      <x:c r="J85" s="1" t="n">
        <x:v>1</x:v>
      </x:c>
    </x:row>
    <x:row r="86" ht="22" customHeight="1">
      <x:c r="A86" s="1" t="str">
        <x:v>bucket_sort_insertion_int</x:v>
      </x:c>
      <x:c r="B86" s="1" t="str">
        <x:v>melhor</x:v>
      </x:c>
      <x:c r="C86" s="9" t="n">
        <x:v>10000</x:v>
      </x:c>
      <x:c r="D86" s="9" t="n">
        <x:v>100000</x:v>
      </x:c>
      <x:c r="E86" s="9" t="n">
        <x:v>10000</x:v>
      </x:c>
      <x:c r="F86" s="9" t="n">
        <x:v>2</x:v>
      </x:c>
      <x:c r="G86" s="9" t="n">
        <x:v>30273059</x:v>
      </x:c>
      <x:c r="H86" s="10" t="n">
        <x:v>0.000189</x:v>
      </x:c>
      <x:c r="I86" s="1" t="n">
        <x:v>1</x:v>
      </x:c>
      <x:c r="J86" s="1" t="n">
        <x:v>1</x:v>
      </x:c>
    </x:row>
    <x:row r="87" ht="22" customHeight="1">
      <x:c r="A87" s="1" t="str">
        <x:v>bucket_sort_insertion_int</x:v>
      </x:c>
      <x:c r="B87" s="1" t="str">
        <x:v>melhor</x:v>
      </x:c>
      <x:c r="C87" s="9" t="n">
        <x:v>10000</x:v>
      </x:c>
      <x:c r="D87" s="9" t="n">
        <x:v>100000</x:v>
      </x:c>
      <x:c r="E87" s="9" t="n">
        <x:v>10000</x:v>
      </x:c>
      <x:c r="F87" s="9" t="n">
        <x:v>3</x:v>
      </x:c>
      <x:c r="G87" s="9" t="n">
        <x:v>30274068</x:v>
      </x:c>
      <x:c r="H87" s="10" t="n">
        <x:v>0.0001243</x:v>
      </x:c>
      <x:c r="I87" s="1" t="n">
        <x:v>1</x:v>
      </x:c>
      <x:c r="J87" s="1" t="n">
        <x:v>1</x:v>
      </x:c>
    </x:row>
    <x:row r="88" ht="22" customHeight="1">
      <x:c r="A88" s="1" t="str">
        <x:v>counting_sort</x:v>
      </x:c>
      <x:c r="B88" s="1" t="str">
        <x:v>melhor</x:v>
      </x:c>
      <x:c r="C88" s="9" t="n">
        <x:v>10000</x:v>
      </x:c>
      <x:c r="D88" s="9" t="n">
        <x:v>100000</x:v>
      </x:c>
      <x:c r="E88" s="9" t="n">
        <x:v>0</x:v>
      </x:c>
      <x:c r="F88" s="9" t="n">
        <x:v>3</x:v>
      </x:c>
      <x:c r="G88" s="9" t="n">
        <x:v>30274068</x:v>
      </x:c>
      <x:c r="H88" s="10" t="n">
        <x:v>0.0002307</x:v>
      </x:c>
      <x:c r="I88" s="1" t="n">
        <x:v>1</x:v>
      </x:c>
      <x:c r="J88" s="1" t="n">
        <x:v>1</x:v>
      </x:c>
    </x:row>
    <x:row r="89" ht="22" customHeight="1">
      <x:c r="A89" s="1" t="str">
        <x:v>counting_sort</x:v>
      </x:c>
      <x:c r="B89" s="1" t="str">
        <x:v>melhor</x:v>
      </x:c>
      <x:c r="C89" s="9" t="n">
        <x:v>50000</x:v>
      </x:c>
      <x:c r="D89" s="9" t="n">
        <x:v>500000</x:v>
      </x:c>
      <x:c r="E89" s="9" t="n">
        <x:v>0</x:v>
      </x:c>
      <x:c r="F89" s="9" t="n">
        <x:v>1</x:v>
      </x:c>
      <x:c r="G89" s="9" t="n">
        <x:v>30312050</x:v>
      </x:c>
      <x:c r="H89" s="10" t="n">
        <x:v>0.0022943</x:v>
      </x:c>
      <x:c r="I89" s="1" t="n">
        <x:v>1</x:v>
      </x:c>
      <x:c r="J89" s="1" t="n">
        <x:v>1</x:v>
      </x:c>
    </x:row>
    <x:row r="90" ht="22" customHeight="1">
      <x:c r="A90" s="1" t="str">
        <x:v>bucket_sort_insertion_int</x:v>
      </x:c>
      <x:c r="B90" s="1" t="str">
        <x:v>melhor</x:v>
      </x:c>
      <x:c r="C90" s="9" t="n">
        <x:v>50000</x:v>
      </x:c>
      <x:c r="D90" s="9" t="n">
        <x:v>500000</x:v>
      </x:c>
      <x:c r="E90" s="9" t="n">
        <x:v>50000</x:v>
      </x:c>
      <x:c r="F90" s="9" t="n">
        <x:v>1</x:v>
      </x:c>
      <x:c r="G90" s="9" t="n">
        <x:v>30312050</x:v>
      </x:c>
      <x:c r="H90" s="10" t="n">
        <x:v>0.0005776</x:v>
      </x:c>
      <x:c r="I90" s="1" t="n">
        <x:v>1</x:v>
      </x:c>
      <x:c r="J90" s="1" t="n">
        <x:v>1</x:v>
      </x:c>
    </x:row>
    <x:row r="91" ht="22" customHeight="1">
      <x:c r="A91" s="1" t="str">
        <x:v>bucket_sort_insertion_int</x:v>
      </x:c>
      <x:c r="B91" s="1" t="str">
        <x:v>melhor</x:v>
      </x:c>
      <x:c r="C91" s="9" t="n">
        <x:v>50000</x:v>
      </x:c>
      <x:c r="D91" s="9" t="n">
        <x:v>500000</x:v>
      </x:c>
      <x:c r="E91" s="9" t="n">
        <x:v>50000</x:v>
      </x:c>
      <x:c r="F91" s="9" t="n">
        <x:v>2</x:v>
      </x:c>
      <x:c r="G91" s="9" t="n">
        <x:v>30313059</x:v>
      </x:c>
      <x:c r="H91" s="10" t="n">
        <x:v>0.0005692</x:v>
      </x:c>
      <x:c r="I91" s="1" t="n">
        <x:v>1</x:v>
      </x:c>
      <x:c r="J91" s="1" t="n">
        <x:v>1</x:v>
      </x:c>
    </x:row>
    <x:row r="92" ht="22" customHeight="1">
      <x:c r="A92" s="1" t="str">
        <x:v>counting_sort</x:v>
      </x:c>
      <x:c r="B92" s="1" t="str">
        <x:v>melhor</x:v>
      </x:c>
      <x:c r="C92" s="9" t="n">
        <x:v>50000</x:v>
      </x:c>
      <x:c r="D92" s="9" t="n">
        <x:v>500000</x:v>
      </x:c>
      <x:c r="E92" s="9" t="n">
        <x:v>0</x:v>
      </x:c>
      <x:c r="F92" s="9" t="n">
        <x:v>2</x:v>
      </x:c>
      <x:c r="G92" s="9" t="n">
        <x:v>30313059</x:v>
      </x:c>
      <x:c r="H92" s="10" t="n">
        <x:v>0.0030532</x:v>
      </x:c>
      <x:c r="I92" s="1" t="n">
        <x:v>1</x:v>
      </x:c>
      <x:c r="J92" s="1" t="n">
        <x:v>1</x:v>
      </x:c>
    </x:row>
    <x:row r="93" ht="22" customHeight="1">
      <x:c r="A93" s="1" t="str">
        <x:v>counting_sort</x:v>
      </x:c>
      <x:c r="B93" s="1" t="str">
        <x:v>melhor</x:v>
      </x:c>
      <x:c r="C93" s="9" t="n">
        <x:v>50000</x:v>
      </x:c>
      <x:c r="D93" s="9" t="n">
        <x:v>500000</x:v>
      </x:c>
      <x:c r="E93" s="9" t="n">
        <x:v>0</x:v>
      </x:c>
      <x:c r="F93" s="9" t="n">
        <x:v>3</x:v>
      </x:c>
      <x:c r="G93" s="9" t="n">
        <x:v>30314068</x:v>
      </x:c>
      <x:c r="H93" s="10" t="n">
        <x:v>0.0029597</x:v>
      </x:c>
      <x:c r="I93" s="1" t="n">
        <x:v>1</x:v>
      </x:c>
      <x:c r="J93" s="1" t="n">
        <x:v>1</x:v>
      </x:c>
    </x:row>
    <x:row r="94" ht="22" customHeight="1">
      <x:c r="A94" s="1" t="str">
        <x:v>bucket_sort_insertion_int</x:v>
      </x:c>
      <x:c r="B94" s="1" t="str">
        <x:v>melhor</x:v>
      </x:c>
      <x:c r="C94" s="9" t="n">
        <x:v>50000</x:v>
      </x:c>
      <x:c r="D94" s="9" t="n">
        <x:v>500000</x:v>
      </x:c>
      <x:c r="E94" s="9" t="n">
        <x:v>50000</x:v>
      </x:c>
      <x:c r="F94" s="9" t="n">
        <x:v>3</x:v>
      </x:c>
      <x:c r="G94" s="9" t="n">
        <x:v>30314068</x:v>
      </x:c>
      <x:c r="H94" s="10" t="n">
        <x:v>0.0007933</x:v>
      </x:c>
      <x:c r="I94" s="1" t="n">
        <x:v>1</x:v>
      </x:c>
      <x:c r="J94" s="1" t="n">
        <x:v>1</x:v>
      </x:c>
    </x:row>
    <x:row r="95" ht="22" customHeight="1">
      <x:c r="A95" s="1" t="str">
        <x:v>bucket_sort_insertion_int</x:v>
      </x:c>
      <x:c r="B95" s="1" t="str">
        <x:v>melhor</x:v>
      </x:c>
      <x:c r="C95" s="9" t="n">
        <x:v>100000</x:v>
      </x:c>
      <x:c r="D95" s="9" t="n">
        <x:v>1000000</x:v>
      </x:c>
      <x:c r="E95" s="9" t="n">
        <x:v>100000</x:v>
      </x:c>
      <x:c r="F95" s="9" t="n">
        <x:v>1</x:v>
      </x:c>
      <x:c r="G95" s="9" t="n">
        <x:v>30362050</x:v>
      </x:c>
      <x:c r="H95" s="10" t="n">
        <x:v>0.0011378</x:v>
      </x:c>
      <x:c r="I95" s="1" t="n">
        <x:v>1</x:v>
      </x:c>
      <x:c r="J95" s="1" t="n">
        <x:v>1</x:v>
      </x:c>
    </x:row>
    <x:row r="96" ht="22" customHeight="1">
      <x:c r="A96" s="1" t="str">
        <x:v>counting_sort</x:v>
      </x:c>
      <x:c r="B96" s="1" t="str">
        <x:v>melhor</x:v>
      </x:c>
      <x:c r="C96" s="9" t="n">
        <x:v>100000</x:v>
      </x:c>
      <x:c r="D96" s="9" t="n">
        <x:v>1000000</x:v>
      </x:c>
      <x:c r="E96" s="9" t="n">
        <x:v>0</x:v>
      </x:c>
      <x:c r="F96" s="9" t="n">
        <x:v>1</x:v>
      </x:c>
      <x:c r="G96" s="9" t="n">
        <x:v>30362050</x:v>
      </x:c>
      <x:c r="H96" s="10" t="n">
        <x:v>0.0048748</x:v>
      </x:c>
      <x:c r="I96" s="1" t="n">
        <x:v>1</x:v>
      </x:c>
      <x:c r="J96" s="1" t="n">
        <x:v>1</x:v>
      </x:c>
    </x:row>
    <x:row r="97" ht="22" customHeight="1">
      <x:c r="A97" s="1" t="str">
        <x:v>counting_sort</x:v>
      </x:c>
      <x:c r="B97" s="1" t="str">
        <x:v>melhor</x:v>
      </x:c>
      <x:c r="C97" s="9" t="n">
        <x:v>100000</x:v>
      </x:c>
      <x:c r="D97" s="9" t="n">
        <x:v>1000000</x:v>
      </x:c>
      <x:c r="E97" s="9" t="n">
        <x:v>0</x:v>
      </x:c>
      <x:c r="F97" s="9" t="n">
        <x:v>2</x:v>
      </x:c>
      <x:c r="G97" s="9" t="n">
        <x:v>30363059</x:v>
      </x:c>
      <x:c r="H97" s="10" t="n">
        <x:v>0.0050316</x:v>
      </x:c>
      <x:c r="I97" s="1" t="n">
        <x:v>1</x:v>
      </x:c>
      <x:c r="J97" s="1" t="n">
        <x:v>1</x:v>
      </x:c>
    </x:row>
    <x:row r="98" ht="22" customHeight="1">
      <x:c r="A98" s="1" t="str">
        <x:v>bucket_sort_insertion_int</x:v>
      </x:c>
      <x:c r="B98" s="1" t="str">
        <x:v>melhor</x:v>
      </x:c>
      <x:c r="C98" s="9" t="n">
        <x:v>100000</x:v>
      </x:c>
      <x:c r="D98" s="9" t="n">
        <x:v>1000000</x:v>
      </x:c>
      <x:c r="E98" s="9" t="n">
        <x:v>100000</x:v>
      </x:c>
      <x:c r="F98" s="9" t="n">
        <x:v>2</x:v>
      </x:c>
      <x:c r="G98" s="9" t="n">
        <x:v>30363059</x:v>
      </x:c>
      <x:c r="H98" s="10" t="n">
        <x:v>0.0019311</x:v>
      </x:c>
      <x:c r="I98" s="1" t="n">
        <x:v>1</x:v>
      </x:c>
      <x:c r="J98" s="1" t="n">
        <x:v>1</x:v>
      </x:c>
    </x:row>
    <x:row r="99" ht="22" customHeight="1">
      <x:c r="A99" s="1" t="str">
        <x:v>bucket_sort_insertion_int</x:v>
      </x:c>
      <x:c r="B99" s="1" t="str">
        <x:v>melhor</x:v>
      </x:c>
      <x:c r="C99" s="9" t="n">
        <x:v>100000</x:v>
      </x:c>
      <x:c r="D99" s="9" t="n">
        <x:v>1000000</x:v>
      </x:c>
      <x:c r="E99" s="9" t="n">
        <x:v>100000</x:v>
      </x:c>
      <x:c r="F99" s="9" t="n">
        <x:v>3</x:v>
      </x:c>
      <x:c r="G99" s="9" t="n">
        <x:v>30364068</x:v>
      </x:c>
      <x:c r="H99" s="10" t="n">
        <x:v>0.0011387</x:v>
      </x:c>
      <x:c r="I99" s="1" t="n">
        <x:v>1</x:v>
      </x:c>
      <x:c r="J99" s="1" t="n">
        <x:v>1</x:v>
      </x:c>
    </x:row>
    <x:row r="100" ht="22" customHeight="1">
      <x:c r="A100" s="1" t="str">
        <x:v>counting_sort</x:v>
      </x:c>
      <x:c r="B100" s="1" t="str">
        <x:v>melhor</x:v>
      </x:c>
      <x:c r="C100" s="9" t="n">
        <x:v>100000</x:v>
      </x:c>
      <x:c r="D100" s="9" t="n">
        <x:v>1000000</x:v>
      </x:c>
      <x:c r="E100" s="9" t="n">
        <x:v>0</x:v>
      </x:c>
      <x:c r="F100" s="9" t="n">
        <x:v>3</x:v>
      </x:c>
      <x:c r="G100" s="9" t="n">
        <x:v>30364068</x:v>
      </x:c>
      <x:c r="H100" s="10" t="n">
        <x:v>0.0056321</x:v>
      </x:c>
      <x:c r="I100" s="1" t="n">
        <x:v>1</x:v>
      </x:c>
      <x:c r="J100" s="1" t="n">
        <x:v>1</x:v>
      </x:c>
    </x:row>
    <x:row r="101" ht="22" customHeight="1">
      <x:c r="A101" s="1" t="str">
        <x:v>counting_sort</x:v>
      </x:c>
      <x:c r="B101" s="1" t="str">
        <x:v>melhor</x:v>
      </x:c>
      <x:c r="C101" s="9" t="n">
        <x:v>500000</x:v>
      </x:c>
      <x:c r="D101" s="9" t="n">
        <x:v>5000000</x:v>
      </x:c>
      <x:c r="E101" s="9" t="n">
        <x:v>0</x:v>
      </x:c>
      <x:c r="F101" s="9" t="n">
        <x:v>1</x:v>
      </x:c>
      <x:c r="G101" s="9" t="n">
        <x:v>30762050</x:v>
      </x:c>
      <x:c r="H101" s="10" t="n">
        <x:v>0.0445129</x:v>
      </x:c>
      <x:c r="I101" s="1" t="n">
        <x:v>1</x:v>
      </x:c>
      <x:c r="J101" s="1" t="n">
        <x:v>1</x:v>
      </x:c>
    </x:row>
    <x:row r="102" ht="22" customHeight="1">
      <x:c r="A102" s="1" t="str">
        <x:v>bucket_sort_insertion_int</x:v>
      </x:c>
      <x:c r="B102" s="1" t="str">
        <x:v>melhor</x:v>
      </x:c>
      <x:c r="C102" s="9" t="n">
        <x:v>500000</x:v>
      </x:c>
      <x:c r="D102" s="9" t="n">
        <x:v>5000000</x:v>
      </x:c>
      <x:c r="E102" s="9" t="n">
        <x:v>500000</x:v>
      </x:c>
      <x:c r="F102" s="9" t="n">
        <x:v>1</x:v>
      </x:c>
      <x:c r="G102" s="9" t="n">
        <x:v>30762050</x:v>
      </x:c>
      <x:c r="H102" s="10" t="n">
        <x:v>0.0084763</x:v>
      </x:c>
      <x:c r="I102" s="1" t="n">
        <x:v>1</x:v>
      </x:c>
      <x:c r="J102" s="1" t="n">
        <x:v>1</x:v>
      </x:c>
    </x:row>
    <x:row r="103" ht="22" customHeight="1">
      <x:c r="A103" s="1" t="str">
        <x:v>bucket_sort_insertion_int</x:v>
      </x:c>
      <x:c r="B103" s="1" t="str">
        <x:v>melhor</x:v>
      </x:c>
      <x:c r="C103" s="9" t="n">
        <x:v>500000</x:v>
      </x:c>
      <x:c r="D103" s="9" t="n">
        <x:v>5000000</x:v>
      </x:c>
      <x:c r="E103" s="9" t="n">
        <x:v>500000</x:v>
      </x:c>
      <x:c r="F103" s="9" t="n">
        <x:v>2</x:v>
      </x:c>
      <x:c r="G103" s="9" t="n">
        <x:v>30763059</x:v>
      </x:c>
      <x:c r="H103" s="10" t="n">
        <x:v>0.008866</x:v>
      </x:c>
      <x:c r="I103" s="1" t="n">
        <x:v>1</x:v>
      </x:c>
      <x:c r="J103" s="1" t="n">
        <x:v>1</x:v>
      </x:c>
    </x:row>
    <x:row r="104" ht="22" customHeight="1">
      <x:c r="A104" s="1" t="str">
        <x:v>counting_sort</x:v>
      </x:c>
      <x:c r="B104" s="1" t="str">
        <x:v>melhor</x:v>
      </x:c>
      <x:c r="C104" s="9" t="n">
        <x:v>500000</x:v>
      </x:c>
      <x:c r="D104" s="9" t="n">
        <x:v>5000000</x:v>
      </x:c>
      <x:c r="E104" s="9" t="n">
        <x:v>0</x:v>
      </x:c>
      <x:c r="F104" s="9" t="n">
        <x:v>2</x:v>
      </x:c>
      <x:c r="G104" s="9" t="n">
        <x:v>30763059</x:v>
      </x:c>
      <x:c r="H104" s="10" t="n">
        <x:v>0.0385151</x:v>
      </x:c>
      <x:c r="I104" s="1" t="n">
        <x:v>1</x:v>
      </x:c>
      <x:c r="J104" s="1" t="n">
        <x:v>1</x:v>
      </x:c>
    </x:row>
    <x:row r="105" ht="22" customHeight="1">
      <x:c r="A105" s="1" t="str">
        <x:v>counting_sort</x:v>
      </x:c>
      <x:c r="B105" s="1" t="str">
        <x:v>melhor</x:v>
      </x:c>
      <x:c r="C105" s="9" t="n">
        <x:v>500000</x:v>
      </x:c>
      <x:c r="D105" s="9" t="n">
        <x:v>5000000</x:v>
      </x:c>
      <x:c r="E105" s="9" t="n">
        <x:v>0</x:v>
      </x:c>
      <x:c r="F105" s="9" t="n">
        <x:v>3</x:v>
      </x:c>
      <x:c r="G105" s="9" t="n">
        <x:v>30764068</x:v>
      </x:c>
      <x:c r="H105" s="10" t="n">
        <x:v>0.0367248</x:v>
      </x:c>
      <x:c r="I105" s="1" t="n">
        <x:v>1</x:v>
      </x:c>
      <x:c r="J105" s="1" t="n">
        <x:v>1</x:v>
      </x:c>
    </x:row>
    <x:row r="106" ht="22" customHeight="1">
      <x:c r="A106" s="1" t="str">
        <x:v>bucket_sort_insertion_int</x:v>
      </x:c>
      <x:c r="B106" s="1" t="str">
        <x:v>melhor</x:v>
      </x:c>
      <x:c r="C106" s="9" t="n">
        <x:v>500000</x:v>
      </x:c>
      <x:c r="D106" s="9" t="n">
        <x:v>5000000</x:v>
      </x:c>
      <x:c r="E106" s="9" t="n">
        <x:v>500000</x:v>
      </x:c>
      <x:c r="F106" s="9" t="n">
        <x:v>3</x:v>
      </x:c>
      <x:c r="G106" s="9" t="n">
        <x:v>30764068</x:v>
      </x:c>
      <x:c r="H106" s="10" t="n">
        <x:v>0.0139668</x:v>
      </x:c>
      <x:c r="I106" s="1" t="n">
        <x:v>1</x:v>
      </x:c>
      <x:c r="J106" s="1" t="n">
        <x:v>1</x:v>
      </x:c>
    </x:row>
    <x:row r="107" ht="22" customHeight="1">
      <x:c r="A107" s="1" t="str">
        <x:v>bucket_sort_insertion_int</x:v>
      </x:c>
      <x:c r="B107" s="1" t="str">
        <x:v>melhor</x:v>
      </x:c>
      <x:c r="C107" s="9" t="n">
        <x:v>1000000</x:v>
      </x:c>
      <x:c r="D107" s="9" t="n">
        <x:v>10000000</x:v>
      </x:c>
      <x:c r="E107" s="9" t="n">
        <x:v>1000000</x:v>
      </x:c>
      <x:c r="F107" s="9" t="n">
        <x:v>1</x:v>
      </x:c>
      <x:c r="G107" s="9" t="n">
        <x:v>31262050</x:v>
      </x:c>
      <x:c r="H107" s="10" t="n">
        <x:v>0.0278689</x:v>
      </x:c>
      <x:c r="I107" s="1" t="n">
        <x:v>1</x:v>
      </x:c>
      <x:c r="J107" s="1" t="n">
        <x:v>1</x:v>
      </x:c>
    </x:row>
    <x:row r="108" ht="22" customHeight="1">
      <x:c r="A108" s="1" t="str">
        <x:v>counting_sort</x:v>
      </x:c>
      <x:c r="B108" s="1" t="str">
        <x:v>melhor</x:v>
      </x:c>
      <x:c r="C108" s="9" t="n">
        <x:v>1000000</x:v>
      </x:c>
      <x:c r="D108" s="9" t="n">
        <x:v>10000000</x:v>
      </x:c>
      <x:c r="E108" s="9" t="n">
        <x:v>0</x:v>
      </x:c>
      <x:c r="F108" s="9" t="n">
        <x:v>1</x:v>
      </x:c>
      <x:c r="G108" s="9" t="n">
        <x:v>31262050</x:v>
      </x:c>
      <x:c r="H108" s="10" t="n">
        <x:v>0.0696944</x:v>
      </x:c>
      <x:c r="I108" s="1" t="n">
        <x:v>1</x:v>
      </x:c>
      <x:c r="J108" s="1" t="n">
        <x:v>1</x:v>
      </x:c>
    </x:row>
    <x:row r="109" ht="22" customHeight="1">
      <x:c r="A109" s="1" t="str">
        <x:v>counting_sort</x:v>
      </x:c>
      <x:c r="B109" s="1" t="str">
        <x:v>melhor</x:v>
      </x:c>
      <x:c r="C109" s="9" t="n">
        <x:v>1000000</x:v>
      </x:c>
      <x:c r="D109" s="9" t="n">
        <x:v>10000000</x:v>
      </x:c>
      <x:c r="E109" s="9" t="n">
        <x:v>0</x:v>
      </x:c>
      <x:c r="F109" s="9" t="n">
        <x:v>2</x:v>
      </x:c>
      <x:c r="G109" s="9" t="n">
        <x:v>31263059</x:v>
      </x:c>
      <x:c r="H109" s="10" t="n">
        <x:v>0.0883763</x:v>
      </x:c>
      <x:c r="I109" s="1" t="n">
        <x:v>1</x:v>
      </x:c>
      <x:c r="J109" s="1" t="n">
        <x:v>1</x:v>
      </x:c>
    </x:row>
    <x:row r="110" ht="22" customHeight="1">
      <x:c r="A110" s="1" t="str">
        <x:v>bucket_sort_insertion_int</x:v>
      </x:c>
      <x:c r="B110" s="1" t="str">
        <x:v>melhor</x:v>
      </x:c>
      <x:c r="C110" s="9" t="n">
        <x:v>1000000</x:v>
      </x:c>
      <x:c r="D110" s="9" t="n">
        <x:v>10000000</x:v>
      </x:c>
      <x:c r="E110" s="9" t="n">
        <x:v>1000000</x:v>
      </x:c>
      <x:c r="F110" s="9" t="n">
        <x:v>2</x:v>
      </x:c>
      <x:c r="G110" s="9" t="n">
        <x:v>31263059</x:v>
      </x:c>
      <x:c r="H110" s="10" t="n">
        <x:v>0.0171782</x:v>
      </x:c>
      <x:c r="I110" s="1" t="n">
        <x:v>1</x:v>
      </x:c>
      <x:c r="J110" s="1" t="n">
        <x:v>1</x:v>
      </x:c>
    </x:row>
    <x:row r="111" ht="22" customHeight="1">
      <x:c r="A111" s="1" t="str">
        <x:v>bucket_sort_insertion_int</x:v>
      </x:c>
      <x:c r="B111" s="1" t="str">
        <x:v>melhor</x:v>
      </x:c>
      <x:c r="C111" s="9" t="n">
        <x:v>1000000</x:v>
      </x:c>
      <x:c r="D111" s="9" t="n">
        <x:v>10000000</x:v>
      </x:c>
      <x:c r="E111" s="9" t="n">
        <x:v>1000000</x:v>
      </x:c>
      <x:c r="F111" s="9" t="n">
        <x:v>3</x:v>
      </x:c>
      <x:c r="G111" s="9" t="n">
        <x:v>31264068</x:v>
      </x:c>
      <x:c r="H111" s="10" t="n">
        <x:v>0.0183291</x:v>
      </x:c>
      <x:c r="I111" s="1" t="n">
        <x:v>1</x:v>
      </x:c>
      <x:c r="J111" s="1" t="n">
        <x:v>1</x:v>
      </x:c>
    </x:row>
    <x:row r="112" ht="22" customHeight="1">
      <x:c r="A112" s="1" t="str">
        <x:v>counting_sort</x:v>
      </x:c>
      <x:c r="B112" s="1" t="str">
        <x:v>melhor</x:v>
      </x:c>
      <x:c r="C112" s="9" t="n">
        <x:v>1000000</x:v>
      </x:c>
      <x:c r="D112" s="9" t="n">
        <x:v>10000000</x:v>
      </x:c>
      <x:c r="E112" s="9" t="n">
        <x:v>0</x:v>
      </x:c>
      <x:c r="F112" s="9" t="n">
        <x:v>3</x:v>
      </x:c>
      <x:c r="G112" s="9" t="n">
        <x:v>31264068</x:v>
      </x:c>
      <x:c r="H112" s="10" t="n">
        <x:v>0.0681407</x:v>
      </x:c>
      <x:c r="I112" s="1" t="n">
        <x:v>1</x:v>
      </x:c>
      <x:c r="J112" s="1" t="n">
        <x:v>1</x:v>
      </x:c>
    </x:row>
    <x:row r="113" ht="22" customHeight="1">
      <x:c r="A113" s="1" t="str">
        <x:v>counting_sort</x:v>
      </x:c>
      <x:c r="B113" s="1" t="str">
        <x:v>pior</x:v>
      </x:c>
      <x:c r="C113" s="9" t="n">
        <x:v>10</x:v>
      </x:c>
      <x:c r="D113" s="9" t="n">
        <x:v>100</x:v>
      </x:c>
      <x:c r="E113" s="9" t="n">
        <x:v>0</x:v>
      </x:c>
      <x:c r="F113" s="9" t="n">
        <x:v>1</x:v>
      </x:c>
      <x:c r="G113" s="9" t="n">
        <x:v>40262079</x:v>
      </x:c>
      <x:c r="H113" s="10" t="n">
        <x:v>0.0001316</x:v>
      </x:c>
      <x:c r="I113" s="1" t="n">
        <x:v>1</x:v>
      </x:c>
      <x:c r="J113" s="1" t="n">
        <x:v>1</x:v>
      </x:c>
    </x:row>
    <x:row r="114" ht="22" customHeight="1">
      <x:c r="A114" s="1" t="str">
        <x:v>bucket_sort_insertion_int</x:v>
      </x:c>
      <x:c r="B114" s="1" t="str">
        <x:v>pior</x:v>
      </x:c>
      <x:c r="C114" s="9" t="n">
        <x:v>10</x:v>
      </x:c>
      <x:c r="D114" s="9" t="n">
        <x:v>100</x:v>
      </x:c>
      <x:c r="E114" s="9" t="n">
        <x:v>10</x:v>
      </x:c>
      <x:c r="F114" s="9" t="n">
        <x:v>1</x:v>
      </x:c>
      <x:c r="G114" s="9" t="n">
        <x:v>40262079</x:v>
      </x:c>
      <x:c r="H114" s="10" t="n">
        <x:v>0.0000034</x:v>
      </x:c>
      <x:c r="I114" s="1" t="n">
        <x:v>1</x:v>
      </x:c>
      <x:c r="J114" s="1" t="n">
        <x:v>1</x:v>
      </x:c>
    </x:row>
    <x:row r="115" ht="22" customHeight="1">
      <x:c r="A115" s="1" t="str">
        <x:v>bucket_sort_insertion_int</x:v>
      </x:c>
      <x:c r="B115" s="1" t="str">
        <x:v>pior</x:v>
      </x:c>
      <x:c r="C115" s="9" t="n">
        <x:v>10</x:v>
      </x:c>
      <x:c r="D115" s="9" t="n">
        <x:v>100</x:v>
      </x:c>
      <x:c r="E115" s="9" t="n">
        <x:v>10</x:v>
      </x:c>
      <x:c r="F115" s="9" t="n">
        <x:v>2</x:v>
      </x:c>
      <x:c r="G115" s="9" t="n">
        <x:v>40263088</x:v>
      </x:c>
      <x:c r="H115" s="10" t="n">
        <x:v>0.0000018</x:v>
      </x:c>
      <x:c r="I115" s="1" t="n">
        <x:v>1</x:v>
      </x:c>
      <x:c r="J115" s="1" t="n">
        <x:v>1</x:v>
      </x:c>
    </x:row>
    <x:row r="116" ht="22" customHeight="1">
      <x:c r="A116" s="1" t="str">
        <x:v>counting_sort</x:v>
      </x:c>
      <x:c r="B116" s="1" t="str">
        <x:v>pior</x:v>
      </x:c>
      <x:c r="C116" s="9" t="n">
        <x:v>10</x:v>
      </x:c>
      <x:c r="D116" s="9" t="n">
        <x:v>100</x:v>
      </x:c>
      <x:c r="E116" s="9" t="n">
        <x:v>0</x:v>
      </x:c>
      <x:c r="F116" s="9" t="n">
        <x:v>2</x:v>
      </x:c>
      <x:c r="G116" s="9" t="n">
        <x:v>40263088</x:v>
      </x:c>
      <x:c r="H116" s="10" t="n">
        <x:v>0.0000057</x:v>
      </x:c>
      <x:c r="I116" s="1" t="n">
        <x:v>1</x:v>
      </x:c>
      <x:c r="J116" s="1" t="n">
        <x:v>1</x:v>
      </x:c>
    </x:row>
    <x:row r="117" ht="22" customHeight="1">
      <x:c r="A117" s="1" t="str">
        <x:v>counting_sort</x:v>
      </x:c>
      <x:c r="B117" s="1" t="str">
        <x:v>pior</x:v>
      </x:c>
      <x:c r="C117" s="9" t="n">
        <x:v>10</x:v>
      </x:c>
      <x:c r="D117" s="9" t="n">
        <x:v>100</x:v>
      </x:c>
      <x:c r="E117" s="9" t="n">
        <x:v>0</x:v>
      </x:c>
      <x:c r="F117" s="9" t="n">
        <x:v>3</x:v>
      </x:c>
      <x:c r="G117" s="9" t="n">
        <x:v>40264097</x:v>
      </x:c>
      <x:c r="H117" s="10" t="n">
        <x:v>0.000001</x:v>
      </x:c>
      <x:c r="I117" s="1" t="n">
        <x:v>1</x:v>
      </x:c>
      <x:c r="J117" s="1" t="n">
        <x:v>1</x:v>
      </x:c>
    </x:row>
    <x:row r="118" ht="22" customHeight="1">
      <x:c r="A118" s="1" t="str">
        <x:v>bucket_sort_insertion_int</x:v>
      </x:c>
      <x:c r="B118" s="1" t="str">
        <x:v>pior</x:v>
      </x:c>
      <x:c r="C118" s="9" t="n">
        <x:v>10</x:v>
      </x:c>
      <x:c r="D118" s="9" t="n">
        <x:v>100</x:v>
      </x:c>
      <x:c r="E118" s="9" t="n">
        <x:v>10</x:v>
      </x:c>
      <x:c r="F118" s="9" t="n">
        <x:v>3</x:v>
      </x:c>
      <x:c r="G118" s="9" t="n">
        <x:v>40264097</x:v>
      </x:c>
      <x:c r="H118" s="10" t="n">
        <x:v>3e-7</x:v>
      </x:c>
      <x:c r="I118" s="1" t="n">
        <x:v>1</x:v>
      </x:c>
      <x:c r="J118" s="1" t="n">
        <x:v>1</x:v>
      </x:c>
    </x:row>
    <x:row r="119" ht="22" customHeight="1">
      <x:c r="A119" s="1" t="str">
        <x:v>bucket_sort_insertion_int</x:v>
      </x:c>
      <x:c r="B119" s="1" t="str">
        <x:v>pior</x:v>
      </x:c>
      <x:c r="C119" s="9" t="n">
        <x:v>100</x:v>
      </x:c>
      <x:c r="D119" s="9" t="n">
        <x:v>1000</x:v>
      </x:c>
      <x:c r="E119" s="9" t="n">
        <x:v>100</x:v>
      </x:c>
      <x:c r="F119" s="9" t="n">
        <x:v>1</x:v>
      </x:c>
      <x:c r="G119" s="9" t="n">
        <x:v>40262169</x:v>
      </x:c>
      <x:c r="H119" s="10" t="n">
        <x:v>0.000003</x:v>
      </x:c>
      <x:c r="I119" s="1" t="n">
        <x:v>1</x:v>
      </x:c>
      <x:c r="J119" s="1" t="n">
        <x:v>1</x:v>
      </x:c>
    </x:row>
    <x:row r="120" ht="22" customHeight="1">
      <x:c r="A120" s="1" t="str">
        <x:v>counting_sort</x:v>
      </x:c>
      <x:c r="B120" s="1" t="str">
        <x:v>pior</x:v>
      </x:c>
      <x:c r="C120" s="9" t="n">
        <x:v>100</x:v>
      </x:c>
      <x:c r="D120" s="9" t="n">
        <x:v>1000</x:v>
      </x:c>
      <x:c r="E120" s="9" t="n">
        <x:v>0</x:v>
      </x:c>
      <x:c r="F120" s="9" t="n">
        <x:v>1</x:v>
      </x:c>
      <x:c r="G120" s="9" t="n">
        <x:v>40262169</x:v>
      </x:c>
      <x:c r="H120" s="10" t="n">
        <x:v>0.0000379</x:v>
      </x:c>
      <x:c r="I120" s="1" t="n">
        <x:v>1</x:v>
      </x:c>
      <x:c r="J120" s="1" t="n">
        <x:v>1</x:v>
      </x:c>
    </x:row>
    <x:row r="121" ht="22" customHeight="1">
      <x:c r="A121" s="1" t="str">
        <x:v>counting_sort</x:v>
      </x:c>
      <x:c r="B121" s="1" t="str">
        <x:v>pior</x:v>
      </x:c>
      <x:c r="C121" s="9" t="n">
        <x:v>100</x:v>
      </x:c>
      <x:c r="D121" s="9" t="n">
        <x:v>1000</x:v>
      </x:c>
      <x:c r="E121" s="9" t="n">
        <x:v>0</x:v>
      </x:c>
      <x:c r="F121" s="9" t="n">
        <x:v>2</x:v>
      </x:c>
      <x:c r="G121" s="9" t="n">
        <x:v>40263178</x:v>
      </x:c>
      <x:c r="H121" s="10" t="n">
        <x:v>0.0000132</x:v>
      </x:c>
      <x:c r="I121" s="1" t="n">
        <x:v>1</x:v>
      </x:c>
      <x:c r="J121" s="1" t="n">
        <x:v>1</x:v>
      </x:c>
    </x:row>
    <x:row r="122" ht="22" customHeight="1">
      <x:c r="A122" s="1" t="str">
        <x:v>bucket_sort_insertion_int</x:v>
      </x:c>
      <x:c r="B122" s="1" t="str">
        <x:v>pior</x:v>
      </x:c>
      <x:c r="C122" s="9" t="n">
        <x:v>100</x:v>
      </x:c>
      <x:c r="D122" s="9" t="n">
        <x:v>1000</x:v>
      </x:c>
      <x:c r="E122" s="9" t="n">
        <x:v>100</x:v>
      </x:c>
      <x:c r="F122" s="9" t="n">
        <x:v>2</x:v>
      </x:c>
      <x:c r="G122" s="9" t="n">
        <x:v>40263178</x:v>
      </x:c>
      <x:c r="H122" s="10" t="n">
        <x:v>0.0000037</x:v>
      </x:c>
      <x:c r="I122" s="1" t="n">
        <x:v>1</x:v>
      </x:c>
      <x:c r="J122" s="1" t="n">
        <x:v>1</x:v>
      </x:c>
    </x:row>
    <x:row r="123" ht="22" customHeight="1">
      <x:c r="A123" s="1" t="str">
        <x:v>bucket_sort_insertion_int</x:v>
      </x:c>
      <x:c r="B123" s="1" t="str">
        <x:v>pior</x:v>
      </x:c>
      <x:c r="C123" s="9" t="n">
        <x:v>100</x:v>
      </x:c>
      <x:c r="D123" s="9" t="n">
        <x:v>1000</x:v>
      </x:c>
      <x:c r="E123" s="9" t="n">
        <x:v>100</x:v>
      </x:c>
      <x:c r="F123" s="9" t="n">
        <x:v>3</x:v>
      </x:c>
      <x:c r="G123" s="9" t="n">
        <x:v>40264187</x:v>
      </x:c>
      <x:c r="H123" s="10" t="n">
        <x:v>0.0000023</x:v>
      </x:c>
      <x:c r="I123" s="1" t="n">
        <x:v>1</x:v>
      </x:c>
      <x:c r="J123" s="1" t="n">
        <x:v>1</x:v>
      </x:c>
    </x:row>
    <x:row r="124" ht="22" customHeight="1">
      <x:c r="A124" s="1" t="str">
        <x:v>counting_sort</x:v>
      </x:c>
      <x:c r="B124" s="1" t="str">
        <x:v>pior</x:v>
      </x:c>
      <x:c r="C124" s="9" t="n">
        <x:v>100</x:v>
      </x:c>
      <x:c r="D124" s="9" t="n">
        <x:v>1000</x:v>
      </x:c>
      <x:c r="E124" s="9" t="n">
        <x:v>0</x:v>
      </x:c>
      <x:c r="F124" s="9" t="n">
        <x:v>3</x:v>
      </x:c>
      <x:c r="G124" s="9" t="n">
        <x:v>40264187</x:v>
      </x:c>
      <x:c r="H124" s="10" t="n">
        <x:v>0.0000064</x:v>
      </x:c>
      <x:c r="I124" s="1" t="n">
        <x:v>1</x:v>
      </x:c>
      <x:c r="J124" s="1" t="n">
        <x:v>1</x:v>
      </x:c>
    </x:row>
    <x:row r="125" ht="22" customHeight="1">
      <x:c r="A125" s="1" t="str">
        <x:v>counting_sort</x:v>
      </x:c>
      <x:c r="B125" s="1" t="str">
        <x:v>pior</x:v>
      </x:c>
      <x:c r="C125" s="9" t="n">
        <x:v>1000</x:v>
      </x:c>
      <x:c r="D125" s="9" t="n">
        <x:v>10000</x:v>
      </x:c>
      <x:c r="E125" s="9" t="n">
        <x:v>0</x:v>
      </x:c>
      <x:c r="F125" s="9" t="n">
        <x:v>1</x:v>
      </x:c>
      <x:c r="G125" s="9" t="n">
        <x:v>40263069</x:v>
      </x:c>
      <x:c r="H125" s="10" t="n">
        <x:v>0.0001091</x:v>
      </x:c>
      <x:c r="I125" s="1" t="n">
        <x:v>1</x:v>
      </x:c>
      <x:c r="J125" s="1" t="n">
        <x:v>1</x:v>
      </x:c>
    </x:row>
    <x:row r="126" ht="22" customHeight="1">
      <x:c r="A126" s="1" t="str">
        <x:v>bucket_sort_insertion_int</x:v>
      </x:c>
      <x:c r="B126" s="1" t="str">
        <x:v>pior</x:v>
      </x:c>
      <x:c r="C126" s="9" t="n">
        <x:v>1000</x:v>
      </x:c>
      <x:c r="D126" s="9" t="n">
        <x:v>10000</x:v>
      </x:c>
      <x:c r="E126" s="9" t="n">
        <x:v>1000</x:v>
      </x:c>
      <x:c r="F126" s="9" t="n">
        <x:v>1</x:v>
      </x:c>
      <x:c r="G126" s="9" t="n">
        <x:v>40263069</x:v>
      </x:c>
      <x:c r="H126" s="10" t="n">
        <x:v>0.0001202</x:v>
      </x:c>
      <x:c r="I126" s="1" t="n">
        <x:v>1</x:v>
      </x:c>
      <x:c r="J126" s="1" t="n">
        <x:v>1</x:v>
      </x:c>
    </x:row>
    <x:row r="127" ht="22" customHeight="1">
      <x:c r="A127" s="1" t="str">
        <x:v>bucket_sort_insertion_int</x:v>
      </x:c>
      <x:c r="B127" s="1" t="str">
        <x:v>pior</x:v>
      </x:c>
      <x:c r="C127" s="9" t="n">
        <x:v>1000</x:v>
      </x:c>
      <x:c r="D127" s="9" t="n">
        <x:v>10000</x:v>
      </x:c>
      <x:c r="E127" s="9" t="n">
        <x:v>1000</x:v>
      </x:c>
      <x:c r="F127" s="9" t="n">
        <x:v>2</x:v>
      </x:c>
      <x:c r="G127" s="9" t="n">
        <x:v>40264078</x:v>
      </x:c>
      <x:c r="H127" s="10" t="n">
        <x:v>0.000156</x:v>
      </x:c>
      <x:c r="I127" s="1" t="n">
        <x:v>1</x:v>
      </x:c>
      <x:c r="J127" s="1" t="n">
        <x:v>1</x:v>
      </x:c>
    </x:row>
    <x:row r="128" ht="22" customHeight="1">
      <x:c r="A128" s="1" t="str">
        <x:v>counting_sort</x:v>
      </x:c>
      <x:c r="B128" s="1" t="str">
        <x:v>pior</x:v>
      </x:c>
      <x:c r="C128" s="9" t="n">
        <x:v>1000</x:v>
      </x:c>
      <x:c r="D128" s="9" t="n">
        <x:v>10000</x:v>
      </x:c>
      <x:c r="E128" s="9" t="n">
        <x:v>0</x:v>
      </x:c>
      <x:c r="F128" s="9" t="n">
        <x:v>2</x:v>
      </x:c>
      <x:c r="G128" s="9" t="n">
        <x:v>40264078</x:v>
      </x:c>
      <x:c r="H128" s="10" t="n">
        <x:v>0.0001024</x:v>
      </x:c>
      <x:c r="I128" s="1" t="n">
        <x:v>1</x:v>
      </x:c>
      <x:c r="J128" s="1" t="n">
        <x:v>1</x:v>
      </x:c>
    </x:row>
    <x:row r="129" ht="22" customHeight="1">
      <x:c r="A129" s="1" t="str">
        <x:v>counting_sort</x:v>
      </x:c>
      <x:c r="B129" s="1" t="str">
        <x:v>pior</x:v>
      </x:c>
      <x:c r="C129" s="9" t="n">
        <x:v>1000</x:v>
      </x:c>
      <x:c r="D129" s="9" t="n">
        <x:v>10000</x:v>
      </x:c>
      <x:c r="E129" s="9" t="n">
        <x:v>0</x:v>
      </x:c>
      <x:c r="F129" s="9" t="n">
        <x:v>3</x:v>
      </x:c>
      <x:c r="G129" s="9" t="n">
        <x:v>40265087</x:v>
      </x:c>
      <x:c r="H129" s="10" t="n">
        <x:v>0.0000536</x:v>
      </x:c>
      <x:c r="I129" s="1" t="n">
        <x:v>1</x:v>
      </x:c>
      <x:c r="J129" s="1" t="n">
        <x:v>1</x:v>
      </x:c>
    </x:row>
    <x:row r="130" ht="22" customHeight="1">
      <x:c r="A130" s="1" t="str">
        <x:v>bucket_sort_insertion_int</x:v>
      </x:c>
      <x:c r="B130" s="1" t="str">
        <x:v>pior</x:v>
      </x:c>
      <x:c r="C130" s="9" t="n">
        <x:v>1000</x:v>
      </x:c>
      <x:c r="D130" s="9" t="n">
        <x:v>10000</x:v>
      </x:c>
      <x:c r="E130" s="9" t="n">
        <x:v>1000</x:v>
      </x:c>
      <x:c r="F130" s="9" t="n">
        <x:v>3</x:v>
      </x:c>
      <x:c r="G130" s="9" t="n">
        <x:v>40265087</x:v>
      </x:c>
      <x:c r="H130" s="10" t="n">
        <x:v>0.0001076</x:v>
      </x:c>
      <x:c r="I130" s="1" t="n">
        <x:v>1</x:v>
      </x:c>
      <x:c r="J130" s="1" t="n">
        <x:v>1</x:v>
      </x:c>
    </x:row>
    <x:row r="131" ht="22" customHeight="1">
      <x:c r="A131" s="1" t="str">
        <x:v>bucket_sort_insertion_int</x:v>
      </x:c>
      <x:c r="B131" s="1" t="str">
        <x:v>pior</x:v>
      </x:c>
      <x:c r="C131" s="9" t="n">
        <x:v>5000</x:v>
      </x:c>
      <x:c r="D131" s="9" t="n">
        <x:v>50000</x:v>
      </x:c>
      <x:c r="E131" s="9" t="n">
        <x:v>5000</x:v>
      </x:c>
      <x:c r="F131" s="9" t="n">
        <x:v>1</x:v>
      </x:c>
      <x:c r="G131" s="9" t="n">
        <x:v>40267069</x:v>
      </x:c>
      <x:c r="H131" s="10" t="n">
        <x:v>0.0020115</x:v>
      </x:c>
      <x:c r="I131" s="1" t="n">
        <x:v>1</x:v>
      </x:c>
      <x:c r="J131" s="1" t="n">
        <x:v>1</x:v>
      </x:c>
    </x:row>
    <x:row r="132" ht="22" customHeight="1">
      <x:c r="A132" s="1" t="str">
        <x:v>counting_sort</x:v>
      </x:c>
      <x:c r="B132" s="1" t="str">
        <x:v>pior</x:v>
      </x:c>
      <x:c r="C132" s="9" t="n">
        <x:v>5000</x:v>
      </x:c>
      <x:c r="D132" s="9" t="n">
        <x:v>50000</x:v>
      </x:c>
      <x:c r="E132" s="9" t="n">
        <x:v>0</x:v>
      </x:c>
      <x:c r="F132" s="9" t="n">
        <x:v>1</x:v>
      </x:c>
      <x:c r="G132" s="9" t="n">
        <x:v>40267069</x:v>
      </x:c>
      <x:c r="H132" s="10" t="n">
        <x:v>0.0001212</x:v>
      </x:c>
      <x:c r="I132" s="1" t="n">
        <x:v>1</x:v>
      </x:c>
      <x:c r="J132" s="1" t="n">
        <x:v>1</x:v>
      </x:c>
    </x:row>
    <x:row r="133" ht="22" customHeight="1">
      <x:c r="A133" s="1" t="str">
        <x:v>counting_sort</x:v>
      </x:c>
      <x:c r="B133" s="1" t="str">
        <x:v>pior</x:v>
      </x:c>
      <x:c r="C133" s="9" t="n">
        <x:v>5000</x:v>
      </x:c>
      <x:c r="D133" s="9" t="n">
        <x:v>50000</x:v>
      </x:c>
      <x:c r="E133" s="9" t="n">
        <x:v>0</x:v>
      </x:c>
      <x:c r="F133" s="9" t="n">
        <x:v>2</x:v>
      </x:c>
      <x:c r="G133" s="9" t="n">
        <x:v>40268078</x:v>
      </x:c>
      <x:c r="H133" s="10" t="n">
        <x:v>0.0000315</x:v>
      </x:c>
      <x:c r="I133" s="1" t="n">
        <x:v>1</x:v>
      </x:c>
      <x:c r="J133" s="1" t="n">
        <x:v>1</x:v>
      </x:c>
    </x:row>
    <x:row r="134" ht="22" customHeight="1">
      <x:c r="A134" s="1" t="str">
        <x:v>bucket_sort_insertion_int</x:v>
      </x:c>
      <x:c r="B134" s="1" t="str">
        <x:v>pior</x:v>
      </x:c>
      <x:c r="C134" s="9" t="n">
        <x:v>5000</x:v>
      </x:c>
      <x:c r="D134" s="9" t="n">
        <x:v>50000</x:v>
      </x:c>
      <x:c r="E134" s="9" t="n">
        <x:v>5000</x:v>
      </x:c>
      <x:c r="F134" s="9" t="n">
        <x:v>2</x:v>
      </x:c>
      <x:c r="G134" s="9" t="n">
        <x:v>40268078</x:v>
      </x:c>
      <x:c r="H134" s="10" t="n">
        <x:v>0.0020828</x:v>
      </x:c>
      <x:c r="I134" s="1" t="n">
        <x:v>1</x:v>
      </x:c>
      <x:c r="J134" s="1" t="n">
        <x:v>1</x:v>
      </x:c>
    </x:row>
    <x:row r="135" ht="22" customHeight="1">
      <x:c r="A135" s="1" t="str">
        <x:v>bucket_sort_insertion_int</x:v>
      </x:c>
      <x:c r="B135" s="1" t="str">
        <x:v>pior</x:v>
      </x:c>
      <x:c r="C135" s="9" t="n">
        <x:v>5000</x:v>
      </x:c>
      <x:c r="D135" s="9" t="n">
        <x:v>50000</x:v>
      </x:c>
      <x:c r="E135" s="9" t="n">
        <x:v>5000</x:v>
      </x:c>
      <x:c r="F135" s="9" t="n">
        <x:v>3</x:v>
      </x:c>
      <x:c r="G135" s="9" t="n">
        <x:v>40269087</x:v>
      </x:c>
      <x:c r="H135" s="10" t="n">
        <x:v>0.0020247</x:v>
      </x:c>
      <x:c r="I135" s="1" t="n">
        <x:v>1</x:v>
      </x:c>
      <x:c r="J135" s="1" t="n">
        <x:v>1</x:v>
      </x:c>
    </x:row>
    <x:row r="136" ht="22" customHeight="1">
      <x:c r="A136" s="1" t="str">
        <x:v>counting_sort</x:v>
      </x:c>
      <x:c r="B136" s="1" t="str">
        <x:v>pior</x:v>
      </x:c>
      <x:c r="C136" s="9" t="n">
        <x:v>5000</x:v>
      </x:c>
      <x:c r="D136" s="9" t="n">
        <x:v>50000</x:v>
      </x:c>
      <x:c r="E136" s="9" t="n">
        <x:v>0</x:v>
      </x:c>
      <x:c r="F136" s="9" t="n">
        <x:v>3</x:v>
      </x:c>
      <x:c r="G136" s="9" t="n">
        <x:v>40269087</x:v>
      </x:c>
      <x:c r="H136" s="10" t="n">
        <x:v>0.0001174</x:v>
      </x:c>
      <x:c r="I136" s="1" t="n">
        <x:v>1</x:v>
      </x:c>
      <x:c r="J136" s="1" t="n">
        <x:v>1</x:v>
      </x:c>
    </x:row>
    <x:row r="137" ht="22" customHeight="1">
      <x:c r="A137" s="1" t="str">
        <x:v>counting_sort</x:v>
      </x:c>
      <x:c r="B137" s="1" t="str">
        <x:v>pior</x:v>
      </x:c>
      <x:c r="C137" s="9" t="n">
        <x:v>10000</x:v>
      </x:c>
      <x:c r="D137" s="9" t="n">
        <x:v>100000</x:v>
      </x:c>
      <x:c r="E137" s="9" t="n">
        <x:v>0</x:v>
      </x:c>
      <x:c r="F137" s="9" t="n">
        <x:v>1</x:v>
      </x:c>
      <x:c r="G137" s="9" t="n">
        <x:v>40272069</x:v>
      </x:c>
      <x:c r="H137" s="10" t="n">
        <x:v>0.0002896</x:v>
      </x:c>
      <x:c r="I137" s="1" t="n">
        <x:v>1</x:v>
      </x:c>
      <x:c r="J137" s="1" t="n">
        <x:v>1</x:v>
      </x:c>
    </x:row>
    <x:row r="138" ht="22" customHeight="1">
      <x:c r="A138" s="1" t="str">
        <x:v>bucket_sort_insertion_int</x:v>
      </x:c>
      <x:c r="B138" s="1" t="str">
        <x:v>pior</x:v>
      </x:c>
      <x:c r="C138" s="9" t="n">
        <x:v>10000</x:v>
      </x:c>
      <x:c r="D138" s="9" t="n">
        <x:v>100000</x:v>
      </x:c>
      <x:c r="E138" s="9" t="n">
        <x:v>10000</x:v>
      </x:c>
      <x:c r="F138" s="9" t="n">
        <x:v>1</x:v>
      </x:c>
      <x:c r="G138" s="9" t="n">
        <x:v>40272069</x:v>
      </x:c>
      <x:c r="H138" s="10" t="n">
        <x:v>0.0077391</x:v>
      </x:c>
      <x:c r="I138" s="1" t="n">
        <x:v>1</x:v>
      </x:c>
      <x:c r="J138" s="1" t="n">
        <x:v>1</x:v>
      </x:c>
    </x:row>
    <x:row r="139" ht="22" customHeight="1">
      <x:c r="A139" s="1" t="str">
        <x:v>bucket_sort_insertion_int</x:v>
      </x:c>
      <x:c r="B139" s="1" t="str">
        <x:v>pior</x:v>
      </x:c>
      <x:c r="C139" s="9" t="n">
        <x:v>10000</x:v>
      </x:c>
      <x:c r="D139" s="9" t="n">
        <x:v>100000</x:v>
      </x:c>
      <x:c r="E139" s="9" t="n">
        <x:v>10000</x:v>
      </x:c>
      <x:c r="F139" s="9" t="n">
        <x:v>2</x:v>
      </x:c>
      <x:c r="G139" s="9" t="n">
        <x:v>40273078</x:v>
      </x:c>
      <x:c r="H139" s="10" t="n">
        <x:v>0.0077887</x:v>
      </x:c>
      <x:c r="I139" s="1" t="n">
        <x:v>1</x:v>
      </x:c>
      <x:c r="J139" s="1" t="n">
        <x:v>1</x:v>
      </x:c>
    </x:row>
    <x:row r="140" ht="22" customHeight="1">
      <x:c r="A140" s="1" t="str">
        <x:v>counting_sort</x:v>
      </x:c>
      <x:c r="B140" s="1" t="str">
        <x:v>pior</x:v>
      </x:c>
      <x:c r="C140" s="9" t="n">
        <x:v>10000</x:v>
      </x:c>
      <x:c r="D140" s="9" t="n">
        <x:v>100000</x:v>
      </x:c>
      <x:c r="E140" s="9" t="n">
        <x:v>0</x:v>
      </x:c>
      <x:c r="F140" s="9" t="n">
        <x:v>2</x:v>
      </x:c>
      <x:c r="G140" s="9" t="n">
        <x:v>40273078</x:v>
      </x:c>
      <x:c r="H140" s="10" t="n">
        <x:v>0.0002496</x:v>
      </x:c>
      <x:c r="I140" s="1" t="n">
        <x:v>1</x:v>
      </x:c>
      <x:c r="J140" s="1" t="n">
        <x:v>1</x:v>
      </x:c>
    </x:row>
    <x:row r="141" ht="22" customHeight="1">
      <x:c r="A141" s="1" t="str">
        <x:v>counting_sort</x:v>
      </x:c>
      <x:c r="B141" s="1" t="str">
        <x:v>pior</x:v>
      </x:c>
      <x:c r="C141" s="9" t="n">
        <x:v>10000</x:v>
      </x:c>
      <x:c r="D141" s="9" t="n">
        <x:v>100000</x:v>
      </x:c>
      <x:c r="E141" s="9" t="n">
        <x:v>0</x:v>
      </x:c>
      <x:c r="F141" s="9" t="n">
        <x:v>3</x:v>
      </x:c>
      <x:c r="G141" s="9" t="n">
        <x:v>40274087</x:v>
      </x:c>
      <x:c r="H141" s="10" t="n">
        <x:v>0.0000785</x:v>
      </x:c>
      <x:c r="I141" s="1" t="n">
        <x:v>1</x:v>
      </x:c>
      <x:c r="J141" s="1" t="n">
        <x:v>1</x:v>
      </x:c>
    </x:row>
    <x:row r="142" ht="22" customHeight="1">
      <x:c r="A142" s="1" t="str">
        <x:v>bucket_sort_insertion_int</x:v>
      </x:c>
      <x:c r="B142" s="1" t="str">
        <x:v>pior</x:v>
      </x:c>
      <x:c r="C142" s="9" t="n">
        <x:v>10000</x:v>
      </x:c>
      <x:c r="D142" s="9" t="n">
        <x:v>100000</x:v>
      </x:c>
      <x:c r="E142" s="9" t="n">
        <x:v>10000</x:v>
      </x:c>
      <x:c r="F142" s="9" t="n">
        <x:v>3</x:v>
      </x:c>
      <x:c r="G142" s="9" t="n">
        <x:v>40274087</x:v>
      </x:c>
      <x:c r="H142" s="10" t="n">
        <x:v>0.0077647</x:v>
      </x:c>
      <x:c r="I142" s="1" t="n">
        <x:v>1</x:v>
      </x:c>
      <x:c r="J142" s="1" t="n">
        <x:v>1</x:v>
      </x:c>
    </x:row>
    <x:row r="143" ht="22" customHeight="1">
      <x:c r="A143" s="1" t="str">
        <x:v>bucket_sort_insertion_int</x:v>
      </x:c>
      <x:c r="B143" s="1" t="str">
        <x:v>pior</x:v>
      </x:c>
      <x:c r="C143" s="9" t="n">
        <x:v>50000</x:v>
      </x:c>
      <x:c r="D143" s="9" t="n">
        <x:v>500000</x:v>
      </x:c>
      <x:c r="E143" s="9" t="n">
        <x:v>50000</x:v>
      </x:c>
      <x:c r="F143" s="9" t="n">
        <x:v>1</x:v>
      </x:c>
      <x:c r="G143" s="9" t="n">
        <x:v>40312069</x:v>
      </x:c>
      <x:c r="H143" s="10" t="n">
        <x:v>0.1951113</x:v>
      </x:c>
      <x:c r="I143" s="1" t="n">
        <x:v>1</x:v>
      </x:c>
      <x:c r="J143" s="1" t="n">
        <x:v>1</x:v>
      </x:c>
    </x:row>
    <x:row r="144" ht="22" customHeight="1">
      <x:c r="A144" s="1" t="str">
        <x:v>counting_sort</x:v>
      </x:c>
      <x:c r="B144" s="1" t="str">
        <x:v>pior</x:v>
      </x:c>
      <x:c r="C144" s="9" t="n">
        <x:v>50000</x:v>
      </x:c>
      <x:c r="D144" s="9" t="n">
        <x:v>500000</x:v>
      </x:c>
      <x:c r="E144" s="9" t="n">
        <x:v>0</x:v>
      </x:c>
      <x:c r="F144" s="9" t="n">
        <x:v>1</x:v>
      </x:c>
      <x:c r="G144" s="9" t="n">
        <x:v>40312069</x:v>
      </x:c>
      <x:c r="H144" s="10" t="n">
        <x:v>0.0013584</x:v>
      </x:c>
      <x:c r="I144" s="1" t="n">
        <x:v>1</x:v>
      </x:c>
      <x:c r="J144" s="1" t="n">
        <x:v>1</x:v>
      </x:c>
    </x:row>
    <x:row r="145" ht="22" customHeight="1">
      <x:c r="A145" s="1" t="str">
        <x:v>counting_sort</x:v>
      </x:c>
      <x:c r="B145" s="1" t="str">
        <x:v>pior</x:v>
      </x:c>
      <x:c r="C145" s="9" t="n">
        <x:v>50000</x:v>
      </x:c>
      <x:c r="D145" s="9" t="n">
        <x:v>500000</x:v>
      </x:c>
      <x:c r="E145" s="9" t="n">
        <x:v>0</x:v>
      </x:c>
      <x:c r="F145" s="9" t="n">
        <x:v>2</x:v>
      </x:c>
      <x:c r="G145" s="9" t="n">
        <x:v>40313078</x:v>
      </x:c>
      <x:c r="H145" s="10" t="n">
        <x:v>0.0012755</x:v>
      </x:c>
      <x:c r="I145" s="1" t="n">
        <x:v>1</x:v>
      </x:c>
      <x:c r="J145" s="1" t="n">
        <x:v>1</x:v>
      </x:c>
    </x:row>
    <x:row r="146" ht="22" customHeight="1">
      <x:c r="A146" s="1" t="str">
        <x:v>bucket_sort_insertion_int</x:v>
      </x:c>
      <x:c r="B146" s="1" t="str">
        <x:v>pior</x:v>
      </x:c>
      <x:c r="C146" s="9" t="n">
        <x:v>50000</x:v>
      </x:c>
      <x:c r="D146" s="9" t="n">
        <x:v>500000</x:v>
      </x:c>
      <x:c r="E146" s="9" t="n">
        <x:v>50000</x:v>
      </x:c>
      <x:c r="F146" s="9" t="n">
        <x:v>2</x:v>
      </x:c>
      <x:c r="G146" s="9" t="n">
        <x:v>40313078</x:v>
      </x:c>
      <x:c r="H146" s="10" t="n">
        <x:v>0.18978</x:v>
      </x:c>
      <x:c r="I146" s="1" t="n">
        <x:v>1</x:v>
      </x:c>
      <x:c r="J146" s="1" t="n">
        <x:v>1</x:v>
      </x:c>
    </x:row>
    <x:row r="147" ht="22" customHeight="1">
      <x:c r="A147" s="1" t="str">
        <x:v>bucket_sort_insertion_int</x:v>
      </x:c>
      <x:c r="B147" s="1" t="str">
        <x:v>pior</x:v>
      </x:c>
      <x:c r="C147" s="9" t="n">
        <x:v>50000</x:v>
      </x:c>
      <x:c r="D147" s="9" t="n">
        <x:v>500000</x:v>
      </x:c>
      <x:c r="E147" s="9" t="n">
        <x:v>50000</x:v>
      </x:c>
      <x:c r="F147" s="9" t="n">
        <x:v>3</x:v>
      </x:c>
      <x:c r="G147" s="9" t="n">
        <x:v>40314087</x:v>
      </x:c>
      <x:c r="H147" s="10" t="n">
        <x:v>0.1759223</x:v>
      </x:c>
      <x:c r="I147" s="1" t="n">
        <x:v>1</x:v>
      </x:c>
      <x:c r="J147" s="1" t="n">
        <x:v>1</x:v>
      </x:c>
    </x:row>
    <x:row r="148" ht="22" customHeight="1">
      <x:c r="A148" s="1" t="str">
        <x:v>counting_sort</x:v>
      </x:c>
      <x:c r="B148" s="1" t="str">
        <x:v>pior</x:v>
      </x:c>
      <x:c r="C148" s="9" t="n">
        <x:v>50000</x:v>
      </x:c>
      <x:c r="D148" s="9" t="n">
        <x:v>500000</x:v>
      </x:c>
      <x:c r="E148" s="9" t="n">
        <x:v>0</x:v>
      </x:c>
      <x:c r="F148" s="9" t="n">
        <x:v>3</x:v>
      </x:c>
      <x:c r="G148" s="9" t="n">
        <x:v>40314087</x:v>
      </x:c>
      <x:c r="H148" s="10" t="n">
        <x:v>0.0015564</x:v>
      </x:c>
      <x:c r="I148" s="1" t="n">
        <x:v>1</x:v>
      </x:c>
      <x:c r="J148" s="1" t="n">
        <x:v>1</x:v>
      </x:c>
    </x:row>
    <x:row r="149" ht="22" customHeight="1">
      <x:c r="A149" s="1" t="str">
        <x:v>counting_sort</x:v>
      </x:c>
      <x:c r="B149" s="1" t="str">
        <x:v>pior</x:v>
      </x:c>
      <x:c r="C149" s="9" t="n">
        <x:v>100000</x:v>
      </x:c>
      <x:c r="D149" s="9" t="n">
        <x:v>1000000</x:v>
      </x:c>
      <x:c r="E149" s="9" t="n">
        <x:v>0</x:v>
      </x:c>
      <x:c r="F149" s="9" t="n">
        <x:v>1</x:v>
      </x:c>
      <x:c r="G149" s="9" t="n">
        <x:v>40362069</x:v>
      </x:c>
      <x:c r="H149" s="10" t="n">
        <x:v>0.0023411</x:v>
      </x:c>
      <x:c r="I149" s="1" t="n">
        <x:v>1</x:v>
      </x:c>
      <x:c r="J149" s="1" t="n">
        <x:v>1</x:v>
      </x:c>
    </x:row>
    <x:row r="150" ht="22" customHeight="1">
      <x:c r="A150" s="1" t="str">
        <x:v>bucket_sort_insertion_int</x:v>
      </x:c>
      <x:c r="B150" s="1" t="str">
        <x:v>pior</x:v>
      </x:c>
      <x:c r="C150" s="9" t="n">
        <x:v>100000</x:v>
      </x:c>
      <x:c r="D150" s="9" t="n">
        <x:v>1000000</x:v>
      </x:c>
      <x:c r="E150" s="9" t="n">
        <x:v>100000</x:v>
      </x:c>
      <x:c r="F150" s="9" t="n">
        <x:v>1</x:v>
      </x:c>
      <x:c r="G150" s="9" t="n">
        <x:v>40362069</x:v>
      </x:c>
      <x:c r="H150" s="10" t="n">
        <x:v>0.7522169</x:v>
      </x:c>
      <x:c r="I150" s="1" t="n">
        <x:v>1</x:v>
      </x:c>
      <x:c r="J150" s="1" t="n">
        <x:v>1</x:v>
      </x:c>
    </x:row>
    <x:row r="151" ht="22" customHeight="1">
      <x:c r="A151" s="1" t="str">
        <x:v>bucket_sort_insertion_int</x:v>
      </x:c>
      <x:c r="B151" s="1" t="str">
        <x:v>pior</x:v>
      </x:c>
      <x:c r="C151" s="9" t="n">
        <x:v>100000</x:v>
      </x:c>
      <x:c r="D151" s="9" t="n">
        <x:v>1000000</x:v>
      </x:c>
      <x:c r="E151" s="9" t="n">
        <x:v>100000</x:v>
      </x:c>
      <x:c r="F151" s="9" t="n">
        <x:v>2</x:v>
      </x:c>
      <x:c r="G151" s="9" t="n">
        <x:v>40363078</x:v>
      </x:c>
      <x:c r="H151" s="10" t="n">
        <x:v>0.7006123</x:v>
      </x:c>
      <x:c r="I151" s="1" t="n">
        <x:v>1</x:v>
      </x:c>
      <x:c r="J151" s="1" t="n">
        <x:v>1</x:v>
      </x:c>
    </x:row>
    <x:row r="152" ht="22" customHeight="1">
      <x:c r="A152" s="1" t="str">
        <x:v>counting_sort</x:v>
      </x:c>
      <x:c r="B152" s="1" t="str">
        <x:v>pior</x:v>
      </x:c>
      <x:c r="C152" s="9" t="n">
        <x:v>100000</x:v>
      </x:c>
      <x:c r="D152" s="9" t="n">
        <x:v>1000000</x:v>
      </x:c>
      <x:c r="E152" s="9" t="n">
        <x:v>0</x:v>
      </x:c>
      <x:c r="F152" s="9" t="n">
        <x:v>2</x:v>
      </x:c>
      <x:c r="G152" s="9" t="n">
        <x:v>40363078</x:v>
      </x:c>
      <x:c r="H152" s="10" t="n">
        <x:v>0.00202</x:v>
      </x:c>
      <x:c r="I152" s="1" t="n">
        <x:v>1</x:v>
      </x:c>
      <x:c r="J152" s="1" t="n">
        <x:v>1</x:v>
      </x:c>
    </x:row>
    <x:row r="153" ht="22" customHeight="1">
      <x:c r="A153" s="1" t="str">
        <x:v>counting_sort</x:v>
      </x:c>
      <x:c r="B153" s="1" t="str">
        <x:v>pior</x:v>
      </x:c>
      <x:c r="C153" s="9" t="n">
        <x:v>100000</x:v>
      </x:c>
      <x:c r="D153" s="9" t="n">
        <x:v>1000000</x:v>
      </x:c>
      <x:c r="E153" s="9" t="n">
        <x:v>0</x:v>
      </x:c>
      <x:c r="F153" s="9" t="n">
        <x:v>3</x:v>
      </x:c>
      <x:c r="G153" s="9" t="n">
        <x:v>40364087</x:v>
      </x:c>
      <x:c r="H153" s="10" t="n">
        <x:v>0.0020643</x:v>
      </x:c>
      <x:c r="I153" s="1" t="n">
        <x:v>1</x:v>
      </x:c>
      <x:c r="J153" s="1" t="n">
        <x:v>1</x:v>
      </x:c>
    </x:row>
    <x:row r="154" ht="22" customHeight="1">
      <x:c r="A154" s="1" t="str">
        <x:v>bucket_sort_insertion_int</x:v>
      </x:c>
      <x:c r="B154" s="1" t="str">
        <x:v>pior</x:v>
      </x:c>
      <x:c r="C154" s="9" t="n">
        <x:v>100000</x:v>
      </x:c>
      <x:c r="D154" s="9" t="n">
        <x:v>1000000</x:v>
      </x:c>
      <x:c r="E154" s="9" t="n">
        <x:v>100000</x:v>
      </x:c>
      <x:c r="F154" s="9" t="n">
        <x:v>3</x:v>
      </x:c>
      <x:c r="G154" s="9" t="n">
        <x:v>40364087</x:v>
      </x:c>
      <x:c r="H154" s="10" t="n">
        <x:v>0.7518354</x:v>
      </x:c>
      <x:c r="I154" s="1" t="n">
        <x:v>1</x:v>
      </x:c>
      <x:c r="J154" s="1" t="n">
        <x:v>1</x:v>
      </x:c>
    </x:row>
    <x:row r="155" ht="22" customHeight="1">
      <x:c r="A155" s="1" t="str">
        <x:v>bucket_sort_insertion_int</x:v>
      </x:c>
      <x:c r="B155" s="1" t="str">
        <x:v>pior</x:v>
      </x:c>
      <x:c r="C155" s="9" t="n">
        <x:v>500000</x:v>
      </x:c>
      <x:c r="D155" s="9" t="n">
        <x:v>5000000</x:v>
      </x:c>
      <x:c r="E155" s="9" t="n">
        <x:v>500000</x:v>
      </x:c>
      <x:c r="F155" s="9" t="n">
        <x:v>1</x:v>
      </x:c>
      <x:c r="G155" s="9" t="n">
        <x:v>40762069</x:v>
      </x:c>
      <x:c r="H155" s="10" t="n">
        <x:v>17.6868926</x:v>
      </x:c>
      <x:c r="I155" s="1" t="n">
        <x:v>1</x:v>
      </x:c>
      <x:c r="J155" s="1" t="n">
        <x:v>1</x:v>
      </x:c>
    </x:row>
    <x:row r="156" ht="22" customHeight="1">
      <x:c r="A156" s="1" t="str">
        <x:v>counting_sort</x:v>
      </x:c>
      <x:c r="B156" s="1" t="str">
        <x:v>pior</x:v>
      </x:c>
      <x:c r="C156" s="9" t="n">
        <x:v>500000</x:v>
      </x:c>
      <x:c r="D156" s="9" t="n">
        <x:v>5000000</x:v>
      </x:c>
      <x:c r="E156" s="9" t="n">
        <x:v>0</x:v>
      </x:c>
      <x:c r="F156" s="9" t="n">
        <x:v>1</x:v>
      </x:c>
      <x:c r="G156" s="9" t="n">
        <x:v>40762069</x:v>
      </x:c>
      <x:c r="H156" s="10" t="n">
        <x:v>0.0116511</x:v>
      </x:c>
      <x:c r="I156" s="1" t="n">
        <x:v>1</x:v>
      </x:c>
      <x:c r="J156" s="1" t="n">
        <x:v>1</x:v>
      </x:c>
    </x:row>
    <x:row r="157" ht="22" customHeight="1">
      <x:c r="A157" s="1" t="str">
        <x:v>counting_sort</x:v>
      </x:c>
      <x:c r="B157" s="1" t="str">
        <x:v>pior</x:v>
      </x:c>
      <x:c r="C157" s="9" t="n">
        <x:v>500000</x:v>
      </x:c>
      <x:c r="D157" s="9" t="n">
        <x:v>5000000</x:v>
      </x:c>
      <x:c r="E157" s="9" t="n">
        <x:v>0</x:v>
      </x:c>
      <x:c r="F157" s="9" t="n">
        <x:v>2</x:v>
      </x:c>
      <x:c r="G157" s="9" t="n">
        <x:v>40763078</x:v>
      </x:c>
      <x:c r="H157" s="10" t="n">
        <x:v>0.0108805</x:v>
      </x:c>
      <x:c r="I157" s="1" t="n">
        <x:v>1</x:v>
      </x:c>
      <x:c r="J157" s="1" t="n">
        <x:v>1</x:v>
      </x:c>
    </x:row>
    <x:row r="158" ht="22" customHeight="1">
      <x:c r="A158" s="1" t="str">
        <x:v>bucket_sort_insertion_int</x:v>
      </x:c>
      <x:c r="B158" s="1" t="str">
        <x:v>pior</x:v>
      </x:c>
      <x:c r="C158" s="9" t="n">
        <x:v>500000</x:v>
      </x:c>
      <x:c r="D158" s="9" t="n">
        <x:v>5000000</x:v>
      </x:c>
      <x:c r="E158" s="9" t="n">
        <x:v>500000</x:v>
      </x:c>
      <x:c r="F158" s="9" t="n">
        <x:v>2</x:v>
      </x:c>
      <x:c r="G158" s="9" t="n">
        <x:v>40763078</x:v>
      </x:c>
      <x:c r="H158" s="10" t="n">
        <x:v>17.4878089</x:v>
      </x:c>
      <x:c r="I158" s="1" t="n">
        <x:v>1</x:v>
      </x:c>
      <x:c r="J158" s="1" t="n">
        <x:v>1</x:v>
      </x:c>
    </x:row>
    <x:row r="159" ht="22" customHeight="1">
      <x:c r="A159" s="1" t="str">
        <x:v>bucket_sort_insertion_int</x:v>
      </x:c>
      <x:c r="B159" s="1" t="str">
        <x:v>pior</x:v>
      </x:c>
      <x:c r="C159" s="9" t="n">
        <x:v>500000</x:v>
      </x:c>
      <x:c r="D159" s="9" t="n">
        <x:v>5000000</x:v>
      </x:c>
      <x:c r="E159" s="9" t="n">
        <x:v>500000</x:v>
      </x:c>
      <x:c r="F159" s="9" t="n">
        <x:v>3</x:v>
      </x:c>
      <x:c r="G159" s="9" t="n">
        <x:v>40764087</x:v>
      </x:c>
      <x:c r="H159" s="10" t="n">
        <x:v>17.5066965</x:v>
      </x:c>
      <x:c r="I159" s="1" t="n">
        <x:v>1</x:v>
      </x:c>
      <x:c r="J159" s="1" t="n">
        <x:v>1</x:v>
      </x:c>
    </x:row>
    <x:row r="160" ht="22" customHeight="1">
      <x:c r="A160" s="1" t="str">
        <x:v>counting_sort</x:v>
      </x:c>
      <x:c r="B160" s="1" t="str">
        <x:v>pior</x:v>
      </x:c>
      <x:c r="C160" s="9" t="n">
        <x:v>500000</x:v>
      </x:c>
      <x:c r="D160" s="9" t="n">
        <x:v>5000000</x:v>
      </x:c>
      <x:c r="E160" s="9" t="n">
        <x:v>0</x:v>
      </x:c>
      <x:c r="F160" s="9" t="n">
        <x:v>3</x:v>
      </x:c>
      <x:c r="G160" s="9" t="n">
        <x:v>40764087</x:v>
      </x:c>
      <x:c r="H160" s="10" t="n">
        <x:v>0.0110447</x:v>
      </x:c>
      <x:c r="I160" s="1" t="n">
        <x:v>1</x:v>
      </x:c>
      <x:c r="J160" s="1" t="n">
        <x:v>1</x:v>
      </x:c>
    </x:row>
    <x:row r="161" ht="22" customHeight="1">
      <x:c r="A161" s="1" t="str">
        <x:v>counting_sort</x:v>
      </x:c>
      <x:c r="B161" s="1" t="str">
        <x:v>pior</x:v>
      </x:c>
      <x:c r="C161" s="9" t="n">
        <x:v>1000000</x:v>
      </x:c>
      <x:c r="D161" s="9" t="n">
        <x:v>10000000</x:v>
      </x:c>
      <x:c r="E161" s="9" t="n">
        <x:v>0</x:v>
      </x:c>
      <x:c r="F161" s="9" t="n">
        <x:v>1</x:v>
      </x:c>
      <x:c r="G161" s="9" t="n">
        <x:v>41262069</x:v>
      </x:c>
      <x:c r="H161" s="10" t="n">
        <x:v>0.0242584</x:v>
      </x:c>
      <x:c r="I161" s="1" t="n">
        <x:v>1</x:v>
      </x:c>
      <x:c r="J161" s="1" t="n">
        <x:v>1</x:v>
      </x:c>
    </x:row>
    <x:row r="162" ht="22" customHeight="1">
      <x:c r="A162" s="1" t="str">
        <x:v>bucket_sort_insertion_int</x:v>
      </x:c>
      <x:c r="B162" s="1" t="str">
        <x:v>pior</x:v>
      </x:c>
      <x:c r="C162" s="9" t="n">
        <x:v>1000000</x:v>
      </x:c>
      <x:c r="D162" s="9" t="n">
        <x:v>10000000</x:v>
      </x:c>
      <x:c r="E162" s="9" t="n">
        <x:v>1000000</x:v>
      </x:c>
      <x:c r="F162" s="9" t="n">
        <x:v>1</x:v>
      </x:c>
      <x:c r="G162" s="9" t="n">
        <x:v>41262069</x:v>
      </x:c>
      <x:c r="H162" s="10" t="n">
        <x:v>70.7627838</x:v>
      </x:c>
      <x:c r="I162" s="1" t="n">
        <x:v>1</x:v>
      </x:c>
      <x:c r="J162" s="1" t="n">
        <x:v>1</x:v>
      </x:c>
    </x:row>
    <x:row r="163" ht="22" customHeight="1">
      <x:c r="A163" s="1" t="str">
        <x:v>bucket_sort_insertion_int</x:v>
      </x:c>
      <x:c r="B163" s="1" t="str">
        <x:v>pior</x:v>
      </x:c>
      <x:c r="C163" s="9" t="n">
        <x:v>1000000</x:v>
      </x:c>
      <x:c r="D163" s="9" t="n">
        <x:v>10000000</x:v>
      </x:c>
      <x:c r="E163" s="9" t="n">
        <x:v>1000000</x:v>
      </x:c>
      <x:c r="F163" s="9" t="n">
        <x:v>2</x:v>
      </x:c>
      <x:c r="G163" s="9" t="n">
        <x:v>41263078</x:v>
      </x:c>
      <x:c r="H163" s="10" t="n">
        <x:v>71.4885635</x:v>
      </x:c>
      <x:c r="I163" s="1" t="n">
        <x:v>1</x:v>
      </x:c>
      <x:c r="J163" s="1" t="n">
        <x:v>1</x:v>
      </x:c>
    </x:row>
    <x:row r="164" ht="22" customHeight="1">
      <x:c r="A164" s="1" t="str">
        <x:v>counting_sort</x:v>
      </x:c>
      <x:c r="B164" s="1" t="str">
        <x:v>pior</x:v>
      </x:c>
      <x:c r="C164" s="9" t="n">
        <x:v>1000000</x:v>
      </x:c>
      <x:c r="D164" s="9" t="n">
        <x:v>10000000</x:v>
      </x:c>
      <x:c r="E164" s="9" t="n">
        <x:v>0</x:v>
      </x:c>
      <x:c r="F164" s="9" t="n">
        <x:v>2</x:v>
      </x:c>
      <x:c r="G164" s="9" t="n">
        <x:v>41263078</x:v>
      </x:c>
      <x:c r="H164" s="10" t="n">
        <x:v>0.0235224</x:v>
      </x:c>
      <x:c r="I164" s="1" t="n">
        <x:v>1</x:v>
      </x:c>
      <x:c r="J164" s="1" t="n">
        <x:v>1</x:v>
      </x:c>
    </x:row>
    <x:row r="165" ht="22" customHeight="1">
      <x:c r="A165" s="1" t="str">
        <x:v>counting_sort</x:v>
      </x:c>
      <x:c r="B165" s="1" t="str">
        <x:v>pior</x:v>
      </x:c>
      <x:c r="C165" s="9" t="n">
        <x:v>1000000</x:v>
      </x:c>
      <x:c r="D165" s="9" t="n">
        <x:v>10000000</x:v>
      </x:c>
      <x:c r="E165" s="9" t="n">
        <x:v>0</x:v>
      </x:c>
      <x:c r="F165" s="9" t="n">
        <x:v>3</x:v>
      </x:c>
      <x:c r="G165" s="9" t="n">
        <x:v>41264087</x:v>
      </x:c>
      <x:c r="H165" s="10" t="n">
        <x:v>0.0244405</x:v>
      </x:c>
      <x:c r="I165" s="1" t="n">
        <x:v>1</x:v>
      </x:c>
      <x:c r="J165" s="1" t="n">
        <x:v>1</x:v>
      </x:c>
    </x:row>
    <x:row r="166" ht="22" customHeight="1">
      <x:c r="A166" s="1" t="str">
        <x:v>bucket_sort_insertion_int</x:v>
      </x:c>
      <x:c r="B166" s="1" t="str">
        <x:v>pior</x:v>
      </x:c>
      <x:c r="C166" s="9" t="n">
        <x:v>1000000</x:v>
      </x:c>
      <x:c r="D166" s="9" t="n">
        <x:v>10000000</x:v>
      </x:c>
      <x:c r="E166" s="9" t="n">
        <x:v>1000000</x:v>
      </x:c>
      <x:c r="F166" s="9" t="n">
        <x:v>3</x:v>
      </x:c>
      <x:c r="G166" s="9" t="n">
        <x:v>41264087</x:v>
      </x:c>
      <x:c r="H166" s="10" t="n">
        <x:v>70.793208</x:v>
      </x:c>
      <x:c r="I166" s="1" t="n">
        <x:v>1</x:v>
      </x:c>
      <x:c r="J166" s="1" t="n">
        <x:v>1</x:v>
      </x:c>
    </x:row>
  </x:sheetData>
  <x:pageMargins left="0.7" right="0.7" top="0.75" bottom="0.75" header="0.3" footer="0.3"/>
</x:worksheet>
</file>